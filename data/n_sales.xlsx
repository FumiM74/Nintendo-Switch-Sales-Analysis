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mi/Desktop/ProjectN/analysis_N/data/"/>
    </mc:Choice>
  </mc:AlternateContent>
  <xr:revisionPtr revIDLastSave="0" documentId="13_ncr:1_{1DB6A114-1A90-0B49-9B7E-13503173FA9B}" xr6:coauthVersionLast="47" xr6:coauthVersionMax="47" xr10:uidLastSave="{00000000-0000-0000-0000-000000000000}"/>
  <bookViews>
    <workbookView xWindow="12760" yWindow="940" windowWidth="21500" windowHeight="17360" activeTab="1" xr2:uid="{8400DF29-4B9B-0D44-898D-664300275511}"/>
  </bookViews>
  <sheets>
    <sheet name="accum_quarterly_data" sheetId="2" r:id="rId1"/>
    <sheet name="quarterly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7" i="1"/>
  <c r="B38" i="1"/>
  <c r="B39" i="1"/>
  <c r="K71" i="1"/>
  <c r="J71" i="1"/>
  <c r="I71" i="1"/>
  <c r="H71" i="1"/>
  <c r="K70" i="1"/>
  <c r="J70" i="1"/>
  <c r="I70" i="1"/>
  <c r="H70" i="1"/>
  <c r="K69" i="1"/>
  <c r="J69" i="1"/>
  <c r="I69" i="1"/>
  <c r="H69" i="1"/>
  <c r="K68" i="1"/>
  <c r="J68" i="1"/>
  <c r="I68" i="1"/>
  <c r="H68" i="1"/>
  <c r="K67" i="1"/>
  <c r="J67" i="1"/>
  <c r="I67" i="1"/>
  <c r="H67" i="1"/>
  <c r="K66" i="1"/>
  <c r="J66" i="1"/>
  <c r="I66" i="1"/>
  <c r="H66" i="1"/>
  <c r="K65" i="1"/>
  <c r="J65" i="1"/>
  <c r="I65" i="1"/>
  <c r="H65" i="1"/>
  <c r="K64" i="1"/>
  <c r="J64" i="1"/>
  <c r="I64" i="1"/>
  <c r="H64" i="1"/>
  <c r="K63" i="1"/>
  <c r="J63" i="1"/>
  <c r="I63" i="1"/>
  <c r="H63" i="1"/>
  <c r="K62" i="1"/>
  <c r="J62" i="1"/>
  <c r="I62" i="1"/>
  <c r="H62" i="1"/>
  <c r="K61" i="1"/>
  <c r="J61" i="1"/>
  <c r="I61" i="1"/>
  <c r="H61" i="1"/>
  <c r="K60" i="1"/>
  <c r="J60" i="1"/>
  <c r="I60" i="1"/>
  <c r="H60" i="1"/>
  <c r="K59" i="1"/>
  <c r="J59" i="1"/>
  <c r="I59" i="1"/>
  <c r="H59" i="1"/>
  <c r="K58" i="1"/>
  <c r="J58" i="1"/>
  <c r="I58" i="1"/>
  <c r="H58" i="1"/>
  <c r="K57" i="1"/>
  <c r="J57" i="1"/>
  <c r="I57" i="1"/>
  <c r="H57" i="1"/>
  <c r="K56" i="1"/>
  <c r="J56" i="1"/>
  <c r="I56" i="1"/>
  <c r="H56" i="1"/>
  <c r="K55" i="1"/>
  <c r="J55" i="1"/>
  <c r="I55" i="1"/>
  <c r="H55" i="1"/>
  <c r="K54" i="1"/>
  <c r="J54" i="1"/>
  <c r="I54" i="1"/>
  <c r="H54" i="1"/>
  <c r="K53" i="1"/>
  <c r="J53" i="1"/>
  <c r="I53" i="1"/>
  <c r="H53" i="1"/>
  <c r="K52" i="1"/>
  <c r="J52" i="1"/>
  <c r="I52" i="1"/>
  <c r="H52" i="1"/>
  <c r="K51" i="1"/>
  <c r="J51" i="1"/>
  <c r="I51" i="1"/>
  <c r="H51" i="1"/>
  <c r="K50" i="1"/>
  <c r="J50" i="1"/>
  <c r="I50" i="1"/>
  <c r="H50" i="1"/>
  <c r="K49" i="1"/>
  <c r="J49" i="1"/>
  <c r="I49" i="1"/>
  <c r="H49" i="1"/>
  <c r="K48" i="1"/>
  <c r="J48" i="1"/>
  <c r="I48" i="1"/>
  <c r="H48" i="1"/>
  <c r="I44" i="1"/>
  <c r="J44" i="1"/>
  <c r="K44" i="1"/>
  <c r="I45" i="1"/>
  <c r="J45" i="1"/>
  <c r="K45" i="1"/>
  <c r="I46" i="1"/>
  <c r="J46" i="1"/>
  <c r="K46" i="1"/>
  <c r="I47" i="1"/>
  <c r="J47" i="1"/>
  <c r="K47" i="1"/>
  <c r="H47" i="1"/>
  <c r="H46" i="1"/>
  <c r="H45" i="1"/>
  <c r="H44" i="1"/>
  <c r="K42" i="1"/>
  <c r="K43" i="1"/>
  <c r="H42" i="1"/>
  <c r="I42" i="1"/>
  <c r="J42" i="1"/>
  <c r="H43" i="1"/>
  <c r="I43" i="1"/>
  <c r="J43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D39" i="1"/>
  <c r="C39" i="1"/>
  <c r="G38" i="1"/>
  <c r="F38" i="1"/>
  <c r="E38" i="1"/>
  <c r="D38" i="1"/>
  <c r="C38" i="1"/>
  <c r="G37" i="1"/>
  <c r="F37" i="1"/>
  <c r="E37" i="1"/>
  <c r="D37" i="1"/>
  <c r="C37" i="1"/>
  <c r="G36" i="1"/>
  <c r="F36" i="1"/>
  <c r="E36" i="1"/>
  <c r="D36" i="1"/>
  <c r="C36" i="1"/>
  <c r="G35" i="1"/>
  <c r="F35" i="1"/>
  <c r="E35" i="1"/>
  <c r="D35" i="1"/>
  <c r="C35" i="1"/>
  <c r="B35" i="1"/>
  <c r="G34" i="1"/>
  <c r="F34" i="1"/>
  <c r="E34" i="1"/>
  <c r="D34" i="1"/>
  <c r="C34" i="1"/>
  <c r="B34" i="1"/>
  <c r="G33" i="1"/>
  <c r="F33" i="1"/>
  <c r="E33" i="1"/>
  <c r="D33" i="1"/>
  <c r="C33" i="1"/>
  <c r="B33" i="1"/>
  <c r="G32" i="1"/>
  <c r="F32" i="1"/>
  <c r="E32" i="1"/>
  <c r="D32" i="1"/>
  <c r="C32" i="1"/>
  <c r="B32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B30" i="1"/>
  <c r="B31" i="1"/>
  <c r="C28" i="1"/>
  <c r="D28" i="1"/>
  <c r="E28" i="1"/>
  <c r="F28" i="1"/>
  <c r="G28" i="1"/>
  <c r="B29" i="1"/>
  <c r="B28" i="1"/>
</calcChain>
</file>

<file path=xl/sharedStrings.xml><?xml version="1.0" encoding="utf-8"?>
<sst xmlns="http://schemas.openxmlformats.org/spreadsheetml/2006/main" count="25" uniqueCount="22">
  <si>
    <t>Wii 国内</t>
  </si>
  <si>
    <t>Wii 米大陸</t>
  </si>
  <si>
    <t>Wii その他</t>
  </si>
  <si>
    <t>Wii U 国内</t>
  </si>
  <si>
    <t>Wii U 米大陸</t>
  </si>
  <si>
    <t>Wii U その他</t>
  </si>
  <si>
    <t>Switch 国内</t>
  </si>
  <si>
    <t>Switch 米大陸</t>
  </si>
  <si>
    <t>Switch その他</t>
  </si>
  <si>
    <t>-</t>
    <phoneticPr fontId="1"/>
  </si>
  <si>
    <t xml:space="preserve"> </t>
    <phoneticPr fontId="1"/>
  </si>
  <si>
    <t>Switch 欧州</t>
    <rPh sb="7" eb="9">
      <t>オウシュウ</t>
    </rPh>
    <phoneticPr fontId="1"/>
  </si>
  <si>
    <t>Wii_jp_sales</t>
    <phoneticPr fontId="1"/>
  </si>
  <si>
    <t>Wii_us_sales</t>
    <phoneticPr fontId="1"/>
  </si>
  <si>
    <t>Switch_others_sales</t>
    <phoneticPr fontId="1"/>
  </si>
  <si>
    <t>Switch_eur_sales</t>
    <phoneticPr fontId="1"/>
  </si>
  <si>
    <t>Switch_us_sales</t>
    <phoneticPr fontId="1"/>
  </si>
  <si>
    <t>Switch_jp_sales</t>
    <phoneticPr fontId="1"/>
  </si>
  <si>
    <t>Wii_others_sales</t>
    <phoneticPr fontId="1"/>
  </si>
  <si>
    <t>WiiU_jp_sales</t>
    <phoneticPr fontId="1"/>
  </si>
  <si>
    <t>WiiU_us_sales</t>
    <phoneticPr fontId="1"/>
  </si>
  <si>
    <t>WiiU_others_sales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</si>
</sst>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37" fontId="2" fillId="0" borderId="0" xfId="0" applyNumberFormat="1" applyFont="1" applyAlignment="1">
      <alignment horizontal="righ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187D-13F7-514B-AFBB-0A09DE9E205B}">
  <dimension ref="A1:K77"/>
  <sheetViews>
    <sheetView workbookViewId="0">
      <selection activeCell="H45" sqref="H45:K45"/>
    </sheetView>
  </sheetViews>
  <sheetFormatPr baseColWidth="10" defaultRowHeight="20"/>
  <sheetData>
    <row r="1" spans="1:11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</v>
      </c>
      <c r="K1" t="s">
        <v>8</v>
      </c>
    </row>
    <row r="2" spans="1:11">
      <c r="A2" s="1">
        <v>38869</v>
      </c>
    </row>
    <row r="3" spans="1:11">
      <c r="A3" s="1">
        <v>38961</v>
      </c>
    </row>
    <row r="4" spans="1:11">
      <c r="A4" s="1">
        <v>39052</v>
      </c>
    </row>
    <row r="5" spans="1:11">
      <c r="A5" s="1">
        <v>39142</v>
      </c>
    </row>
    <row r="6" spans="1:11">
      <c r="A6" s="1">
        <v>39234</v>
      </c>
    </row>
    <row r="7" spans="1:11">
      <c r="A7" s="1">
        <v>39326</v>
      </c>
    </row>
    <row r="8" spans="1:11">
      <c r="A8" s="1">
        <v>39417</v>
      </c>
    </row>
    <row r="9" spans="1:11">
      <c r="A9" s="1">
        <v>39508</v>
      </c>
    </row>
    <row r="10" spans="1:11">
      <c r="A10" s="1">
        <v>39600</v>
      </c>
    </row>
    <row r="11" spans="1:11">
      <c r="A11" s="1">
        <v>39692</v>
      </c>
    </row>
    <row r="12" spans="1:11">
      <c r="A12" s="1">
        <v>39783</v>
      </c>
    </row>
    <row r="13" spans="1:11">
      <c r="A13" s="1">
        <v>39873</v>
      </c>
    </row>
    <row r="14" spans="1:11">
      <c r="A14" s="1">
        <v>39965</v>
      </c>
    </row>
    <row r="15" spans="1:11">
      <c r="A15" s="1">
        <v>40057</v>
      </c>
    </row>
    <row r="16" spans="1:11">
      <c r="A16" s="1">
        <v>40148</v>
      </c>
    </row>
    <row r="17" spans="1:7">
      <c r="A17" s="1">
        <v>40238</v>
      </c>
    </row>
    <row r="18" spans="1:7">
      <c r="A18" s="1">
        <v>40330</v>
      </c>
    </row>
    <row r="19" spans="1:7">
      <c r="A19" s="1">
        <v>40422</v>
      </c>
    </row>
    <row r="20" spans="1:7">
      <c r="A20" s="1">
        <v>40513</v>
      </c>
    </row>
    <row r="21" spans="1:7">
      <c r="A21" s="1">
        <v>40603</v>
      </c>
    </row>
    <row r="22" spans="1:7">
      <c r="A22" s="1">
        <v>40695</v>
      </c>
    </row>
    <row r="23" spans="1:7">
      <c r="A23" s="1">
        <v>40787</v>
      </c>
    </row>
    <row r="24" spans="1:7">
      <c r="A24" s="1">
        <v>40878</v>
      </c>
    </row>
    <row r="25" spans="1:7">
      <c r="A25" s="1">
        <v>40969</v>
      </c>
    </row>
    <row r="26" spans="1:7">
      <c r="A26" s="1">
        <v>41061</v>
      </c>
    </row>
    <row r="27" spans="1:7">
      <c r="A27" s="1">
        <v>41153</v>
      </c>
    </row>
    <row r="28" spans="1:7">
      <c r="A28" s="1">
        <v>41244</v>
      </c>
    </row>
    <row r="29" spans="1:7">
      <c r="A29" s="1">
        <v>41334</v>
      </c>
    </row>
    <row r="30" spans="1:7">
      <c r="A30" s="1">
        <v>41426</v>
      </c>
      <c r="B30">
        <v>2</v>
      </c>
      <c r="C30">
        <v>10</v>
      </c>
      <c r="D30">
        <v>9</v>
      </c>
      <c r="E30">
        <v>9</v>
      </c>
      <c r="F30">
        <v>6</v>
      </c>
      <c r="G30">
        <v>1</v>
      </c>
    </row>
    <row r="31" spans="1:7">
      <c r="A31" s="1">
        <v>41518</v>
      </c>
      <c r="B31">
        <v>4</v>
      </c>
      <c r="C31">
        <v>28</v>
      </c>
      <c r="D31">
        <v>15</v>
      </c>
      <c r="E31">
        <v>23</v>
      </c>
      <c r="F31">
        <v>23</v>
      </c>
      <c r="G31">
        <v>1</v>
      </c>
    </row>
    <row r="32" spans="1:7">
      <c r="A32" s="1">
        <v>41609</v>
      </c>
      <c r="B32">
        <v>4</v>
      </c>
      <c r="C32">
        <v>63</v>
      </c>
      <c r="D32">
        <v>40</v>
      </c>
      <c r="E32">
        <v>83</v>
      </c>
      <c r="F32">
        <v>120</v>
      </c>
      <c r="G32">
        <v>48</v>
      </c>
    </row>
    <row r="33" spans="1:11">
      <c r="A33" s="1">
        <v>41699</v>
      </c>
      <c r="B33">
        <v>4</v>
      </c>
      <c r="C33">
        <v>71</v>
      </c>
      <c r="D33">
        <v>48</v>
      </c>
      <c r="E33">
        <v>89</v>
      </c>
      <c r="F33">
        <v>129</v>
      </c>
      <c r="G33">
        <v>55</v>
      </c>
    </row>
    <row r="34" spans="1:11">
      <c r="A34" s="1">
        <v>41791</v>
      </c>
      <c r="B34">
        <v>0</v>
      </c>
      <c r="C34">
        <v>4</v>
      </c>
      <c r="D34">
        <v>5</v>
      </c>
      <c r="E34">
        <v>6</v>
      </c>
      <c r="F34">
        <v>28</v>
      </c>
      <c r="G34">
        <v>17</v>
      </c>
    </row>
    <row r="35" spans="1:11">
      <c r="A35" s="1">
        <v>41883</v>
      </c>
      <c r="B35">
        <v>0</v>
      </c>
      <c r="C35">
        <v>8</v>
      </c>
      <c r="D35">
        <v>9</v>
      </c>
      <c r="E35">
        <v>17</v>
      </c>
      <c r="F35">
        <v>63</v>
      </c>
      <c r="G35">
        <v>32</v>
      </c>
    </row>
    <row r="36" spans="1:11">
      <c r="A36" s="1">
        <v>41974</v>
      </c>
      <c r="B36">
        <v>0</v>
      </c>
      <c r="C36">
        <v>15</v>
      </c>
      <c r="D36">
        <v>22</v>
      </c>
      <c r="E36">
        <v>49</v>
      </c>
      <c r="F36">
        <v>164</v>
      </c>
      <c r="G36">
        <v>90</v>
      </c>
    </row>
    <row r="37" spans="1:11">
      <c r="A37" s="1">
        <v>42064</v>
      </c>
      <c r="B37">
        <v>0</v>
      </c>
      <c r="C37">
        <v>18</v>
      </c>
      <c r="D37">
        <v>27</v>
      </c>
      <c r="E37">
        <v>53</v>
      </c>
      <c r="F37">
        <v>185</v>
      </c>
      <c r="G37">
        <v>100</v>
      </c>
    </row>
    <row r="38" spans="1:11">
      <c r="A38" s="1">
        <v>42156</v>
      </c>
      <c r="B38" t="s">
        <v>9</v>
      </c>
      <c r="C38">
        <v>0</v>
      </c>
      <c r="D38">
        <v>4</v>
      </c>
      <c r="E38">
        <v>15</v>
      </c>
      <c r="F38">
        <v>19</v>
      </c>
      <c r="G38">
        <v>13</v>
      </c>
    </row>
    <row r="39" spans="1:11">
      <c r="A39" s="1">
        <v>42248</v>
      </c>
      <c r="B39" t="s">
        <v>9</v>
      </c>
      <c r="C39">
        <v>0</v>
      </c>
      <c r="D39">
        <v>8</v>
      </c>
      <c r="E39">
        <v>22</v>
      </c>
      <c r="F39">
        <v>55</v>
      </c>
      <c r="G39">
        <v>31</v>
      </c>
    </row>
    <row r="40" spans="1:11">
      <c r="A40" s="1">
        <v>42339</v>
      </c>
      <c r="B40" t="s">
        <v>9</v>
      </c>
      <c r="C40">
        <v>0</v>
      </c>
      <c r="D40">
        <v>11</v>
      </c>
      <c r="E40">
        <v>75</v>
      </c>
      <c r="F40">
        <v>145</v>
      </c>
      <c r="G40">
        <v>87</v>
      </c>
      <c r="H40" t="s">
        <v>10</v>
      </c>
    </row>
    <row r="41" spans="1:11">
      <c r="A41" s="1">
        <v>42430</v>
      </c>
      <c r="B41" t="s">
        <v>9</v>
      </c>
      <c r="C41">
        <v>0</v>
      </c>
      <c r="D41">
        <v>11</v>
      </c>
      <c r="E41">
        <v>80</v>
      </c>
      <c r="F41">
        <v>154</v>
      </c>
      <c r="G41">
        <v>91</v>
      </c>
    </row>
    <row r="42" spans="1:11">
      <c r="A42" s="1">
        <v>42522</v>
      </c>
      <c r="E42">
        <v>7</v>
      </c>
      <c r="F42">
        <v>9</v>
      </c>
      <c r="G42">
        <v>5</v>
      </c>
    </row>
    <row r="43" spans="1:11">
      <c r="A43" s="1">
        <v>42614</v>
      </c>
      <c r="E43">
        <v>16</v>
      </c>
      <c r="F43">
        <v>22</v>
      </c>
      <c r="G43">
        <v>18</v>
      </c>
    </row>
    <row r="44" spans="1:11">
      <c r="A44" s="1">
        <v>42705</v>
      </c>
      <c r="E44">
        <v>20</v>
      </c>
      <c r="F44">
        <v>29</v>
      </c>
      <c r="G44">
        <v>26</v>
      </c>
    </row>
    <row r="45" spans="1:11">
      <c r="A45" s="1">
        <v>42795</v>
      </c>
      <c r="E45">
        <v>20</v>
      </c>
      <c r="F45">
        <v>29</v>
      </c>
      <c r="G45">
        <v>26</v>
      </c>
      <c r="H45">
        <v>60</v>
      </c>
      <c r="I45">
        <v>120</v>
      </c>
      <c r="K45">
        <v>94</v>
      </c>
    </row>
    <row r="46" spans="1:11">
      <c r="A46" s="1">
        <v>42887</v>
      </c>
      <c r="H46">
        <v>52</v>
      </c>
      <c r="I46">
        <v>75</v>
      </c>
      <c r="K46">
        <v>69</v>
      </c>
    </row>
    <row r="47" spans="1:11">
      <c r="A47" s="1">
        <v>42979</v>
      </c>
      <c r="H47">
        <v>135</v>
      </c>
      <c r="I47">
        <v>192</v>
      </c>
      <c r="K47">
        <v>162</v>
      </c>
    </row>
    <row r="48" spans="1:11">
      <c r="A48" s="1">
        <v>43070</v>
      </c>
      <c r="H48">
        <v>312</v>
      </c>
      <c r="I48">
        <v>474</v>
      </c>
      <c r="K48">
        <v>426</v>
      </c>
    </row>
    <row r="49" spans="1:11">
      <c r="A49" s="1">
        <v>43160</v>
      </c>
      <c r="H49">
        <v>378</v>
      </c>
      <c r="I49">
        <v>594</v>
      </c>
      <c r="K49">
        <v>533</v>
      </c>
    </row>
    <row r="50" spans="1:11">
      <c r="A50" s="1">
        <v>43252</v>
      </c>
      <c r="H50">
        <v>50</v>
      </c>
      <c r="I50">
        <v>67</v>
      </c>
      <c r="K50">
        <v>70</v>
      </c>
    </row>
    <row r="51" spans="1:11">
      <c r="A51" s="1">
        <v>43344</v>
      </c>
      <c r="H51">
        <v>114</v>
      </c>
      <c r="I51">
        <v>200</v>
      </c>
      <c r="K51">
        <v>193</v>
      </c>
    </row>
    <row r="52" spans="1:11">
      <c r="A52" s="1">
        <v>43435</v>
      </c>
      <c r="H52">
        <v>336</v>
      </c>
      <c r="I52">
        <v>580</v>
      </c>
      <c r="K52">
        <v>533</v>
      </c>
    </row>
    <row r="53" spans="1:11">
      <c r="A53" s="1">
        <v>43525</v>
      </c>
      <c r="H53">
        <v>385</v>
      </c>
      <c r="I53">
        <v>688</v>
      </c>
      <c r="K53">
        <v>623</v>
      </c>
    </row>
    <row r="54" spans="1:11">
      <c r="A54" s="1">
        <v>43617</v>
      </c>
      <c r="H54">
        <v>53</v>
      </c>
      <c r="I54">
        <v>82</v>
      </c>
      <c r="K54">
        <v>50</v>
      </c>
    </row>
    <row r="55" spans="1:11">
      <c r="A55" s="1">
        <v>43709</v>
      </c>
      <c r="H55">
        <v>177</v>
      </c>
      <c r="I55">
        <v>263</v>
      </c>
      <c r="K55">
        <v>177</v>
      </c>
    </row>
    <row r="56" spans="1:11">
      <c r="A56" s="1">
        <v>43800</v>
      </c>
      <c r="H56">
        <v>419</v>
      </c>
      <c r="I56">
        <v>658</v>
      </c>
      <c r="K56">
        <v>479</v>
      </c>
    </row>
    <row r="57" spans="1:11">
      <c r="A57" s="1">
        <v>43891</v>
      </c>
      <c r="H57">
        <v>521</v>
      </c>
      <c r="I57">
        <v>811</v>
      </c>
      <c r="K57">
        <v>534</v>
      </c>
    </row>
    <row r="58" spans="1:11">
      <c r="A58" s="1">
        <v>43983</v>
      </c>
      <c r="H58">
        <v>115</v>
      </c>
      <c r="I58">
        <v>199</v>
      </c>
      <c r="J58">
        <v>161</v>
      </c>
      <c r="K58">
        <v>92</v>
      </c>
    </row>
    <row r="59" spans="1:11">
      <c r="A59" s="1">
        <v>44075</v>
      </c>
      <c r="H59">
        <v>273</v>
      </c>
      <c r="I59">
        <v>446</v>
      </c>
      <c r="J59">
        <v>331</v>
      </c>
      <c r="K59">
        <v>204</v>
      </c>
    </row>
    <row r="60" spans="1:11">
      <c r="A60" s="1">
        <v>44166</v>
      </c>
      <c r="H60">
        <v>544</v>
      </c>
      <c r="I60">
        <v>905</v>
      </c>
      <c r="J60">
        <v>628</v>
      </c>
      <c r="K60">
        <v>333</v>
      </c>
    </row>
    <row r="61" spans="1:11">
      <c r="A61" s="1">
        <v>44256</v>
      </c>
      <c r="H61">
        <v>660</v>
      </c>
      <c r="I61">
        <v>1115</v>
      </c>
      <c r="J61">
        <v>715</v>
      </c>
      <c r="K61">
        <v>393</v>
      </c>
    </row>
    <row r="62" spans="1:11">
      <c r="A62" s="1">
        <v>44348</v>
      </c>
      <c r="H62">
        <v>116</v>
      </c>
      <c r="I62">
        <v>159</v>
      </c>
      <c r="J62">
        <v>108</v>
      </c>
      <c r="K62">
        <v>62</v>
      </c>
    </row>
    <row r="63" spans="1:11">
      <c r="A63" s="1">
        <v>44440</v>
      </c>
      <c r="H63">
        <v>203</v>
      </c>
      <c r="I63">
        <v>304</v>
      </c>
      <c r="J63">
        <v>202</v>
      </c>
      <c r="K63">
        <v>119</v>
      </c>
    </row>
    <row r="64" spans="1:11">
      <c r="A64" s="1">
        <v>44531</v>
      </c>
      <c r="H64">
        <v>432</v>
      </c>
      <c r="I64">
        <v>684</v>
      </c>
      <c r="J64">
        <v>540</v>
      </c>
      <c r="K64">
        <v>238</v>
      </c>
    </row>
    <row r="65" spans="1:11">
      <c r="A65" s="1">
        <v>44621</v>
      </c>
      <c r="H65">
        <v>519</v>
      </c>
      <c r="I65">
        <v>876</v>
      </c>
      <c r="J65">
        <v>602</v>
      </c>
      <c r="K65">
        <v>309</v>
      </c>
    </row>
    <row r="66" spans="1:11">
      <c r="A66" s="1">
        <v>44713</v>
      </c>
      <c r="H66">
        <v>72</v>
      </c>
      <c r="I66">
        <v>127</v>
      </c>
      <c r="J66">
        <v>111</v>
      </c>
      <c r="K66">
        <v>33</v>
      </c>
    </row>
    <row r="67" spans="1:11">
      <c r="A67" s="1">
        <v>44805</v>
      </c>
      <c r="H67">
        <v>173</v>
      </c>
      <c r="I67">
        <v>256</v>
      </c>
      <c r="J67">
        <v>169</v>
      </c>
      <c r="K67">
        <v>70</v>
      </c>
    </row>
    <row r="68" spans="1:11">
      <c r="A68" s="1">
        <v>44896</v>
      </c>
      <c r="H68">
        <v>382</v>
      </c>
      <c r="I68">
        <v>563</v>
      </c>
      <c r="J68">
        <v>411</v>
      </c>
      <c r="K68">
        <v>135</v>
      </c>
    </row>
    <row r="69" spans="1:11">
      <c r="A69" s="1">
        <v>44986</v>
      </c>
      <c r="H69">
        <v>437</v>
      </c>
      <c r="I69">
        <v>697</v>
      </c>
      <c r="J69">
        <v>498</v>
      </c>
      <c r="K69">
        <v>165</v>
      </c>
    </row>
    <row r="70" spans="1:11">
      <c r="A70" s="1">
        <v>45078</v>
      </c>
      <c r="H70">
        <v>120</v>
      </c>
      <c r="I70">
        <v>118</v>
      </c>
      <c r="J70">
        <v>94</v>
      </c>
      <c r="K70">
        <v>58</v>
      </c>
    </row>
    <row r="71" spans="1:11">
      <c r="A71" s="1">
        <v>45170</v>
      </c>
      <c r="H71">
        <v>218</v>
      </c>
      <c r="I71">
        <v>203</v>
      </c>
      <c r="J71">
        <v>157</v>
      </c>
      <c r="K71">
        <v>106</v>
      </c>
    </row>
    <row r="72" spans="1:11">
      <c r="A72" s="1">
        <v>45261</v>
      </c>
      <c r="H72">
        <v>374</v>
      </c>
      <c r="I72">
        <v>485</v>
      </c>
      <c r="J72">
        <v>356</v>
      </c>
      <c r="K72">
        <v>159</v>
      </c>
    </row>
    <row r="73" spans="1:11">
      <c r="A73" s="1">
        <v>45352</v>
      </c>
      <c r="H73">
        <v>441</v>
      </c>
      <c r="I73">
        <v>552</v>
      </c>
      <c r="J73">
        <v>390</v>
      </c>
      <c r="K73">
        <v>186</v>
      </c>
    </row>
    <row r="74" spans="1:11">
      <c r="A74" s="1">
        <v>45444</v>
      </c>
    </row>
    <row r="75" spans="1:11">
      <c r="A75" s="1">
        <v>45536</v>
      </c>
    </row>
    <row r="76" spans="1:11">
      <c r="A76" s="1">
        <v>45627</v>
      </c>
    </row>
    <row r="77" spans="1:11">
      <c r="A77" s="1">
        <v>45717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7C90-6827-3747-905A-E13B10D5E52F}">
  <dimension ref="A1:K76"/>
  <sheetViews>
    <sheetView tabSelected="1" workbookViewId="0">
      <selection activeCell="I12" sqref="I12"/>
    </sheetView>
  </sheetViews>
  <sheetFormatPr baseColWidth="10" defaultRowHeight="20"/>
  <sheetData>
    <row r="1" spans="1:11">
      <c r="A1" s="1"/>
      <c r="B1" t="s">
        <v>12</v>
      </c>
      <c r="C1" t="s">
        <v>13</v>
      </c>
      <c r="D1" t="s">
        <v>18</v>
      </c>
      <c r="E1" t="s">
        <v>19</v>
      </c>
      <c r="F1" t="s">
        <v>20</v>
      </c>
      <c r="G1" t="s">
        <v>21</v>
      </c>
      <c r="H1" t="s">
        <v>17</v>
      </c>
      <c r="I1" t="s">
        <v>16</v>
      </c>
      <c r="J1" t="s">
        <v>15</v>
      </c>
      <c r="K1" t="s">
        <v>14</v>
      </c>
    </row>
    <row r="2" spans="1:11">
      <c r="A2" s="1">
        <v>39052</v>
      </c>
      <c r="B2">
        <v>114</v>
      </c>
      <c r="C2">
        <v>125</v>
      </c>
      <c r="D2">
        <v>80</v>
      </c>
    </row>
    <row r="3" spans="1:11">
      <c r="A3" s="1">
        <v>39142</v>
      </c>
      <c r="B3">
        <v>86</v>
      </c>
      <c r="C3">
        <v>112</v>
      </c>
      <c r="D3">
        <v>67</v>
      </c>
    </row>
    <row r="4" spans="1:11">
      <c r="A4" s="1">
        <v>39234</v>
      </c>
      <c r="B4">
        <v>95</v>
      </c>
      <c r="C4">
        <v>144</v>
      </c>
      <c r="D4">
        <v>104</v>
      </c>
    </row>
    <row r="5" spans="1:11">
      <c r="A5" s="1">
        <v>39326</v>
      </c>
      <c r="B5">
        <v>72</v>
      </c>
      <c r="C5">
        <v>165</v>
      </c>
      <c r="D5">
        <v>154</v>
      </c>
    </row>
    <row r="6" spans="1:11">
      <c r="A6" s="1">
        <v>39417</v>
      </c>
      <c r="B6">
        <v>132</v>
      </c>
      <c r="C6">
        <v>339</v>
      </c>
      <c r="D6">
        <v>226</v>
      </c>
    </row>
    <row r="7" spans="1:11">
      <c r="A7" s="1">
        <v>39508</v>
      </c>
      <c r="B7">
        <v>92</v>
      </c>
      <c r="C7">
        <v>176</v>
      </c>
      <c r="D7">
        <v>164</v>
      </c>
    </row>
    <row r="8" spans="1:11">
      <c r="A8" s="1">
        <v>39600</v>
      </c>
      <c r="B8">
        <v>53</v>
      </c>
      <c r="C8">
        <v>250</v>
      </c>
      <c r="D8">
        <v>215</v>
      </c>
    </row>
    <row r="9" spans="1:11">
      <c r="A9" s="1">
        <v>39692</v>
      </c>
      <c r="B9">
        <v>48</v>
      </c>
      <c r="C9">
        <v>208</v>
      </c>
      <c r="D9">
        <v>237</v>
      </c>
    </row>
    <row r="10" spans="1:11">
      <c r="A10" s="1">
        <v>39783</v>
      </c>
      <c r="B10">
        <v>89</v>
      </c>
      <c r="C10">
        <v>522</v>
      </c>
      <c r="D10">
        <v>432</v>
      </c>
    </row>
    <row r="11" spans="1:11">
      <c r="A11" s="1">
        <v>39873</v>
      </c>
      <c r="B11">
        <v>16</v>
      </c>
      <c r="C11">
        <v>314</v>
      </c>
      <c r="D11">
        <v>213</v>
      </c>
    </row>
    <row r="12" spans="1:11">
      <c r="A12" s="1">
        <v>39965</v>
      </c>
      <c r="B12">
        <v>21</v>
      </c>
      <c r="C12">
        <v>88</v>
      </c>
      <c r="D12">
        <v>114</v>
      </c>
    </row>
    <row r="13" spans="1:11">
      <c r="A13" s="1">
        <v>40057</v>
      </c>
      <c r="B13">
        <v>51</v>
      </c>
      <c r="C13">
        <v>157</v>
      </c>
      <c r="D13">
        <v>145</v>
      </c>
    </row>
    <row r="14" spans="1:11">
      <c r="A14" s="1">
        <v>40148</v>
      </c>
      <c r="B14">
        <v>104</v>
      </c>
      <c r="C14">
        <v>604</v>
      </c>
      <c r="D14">
        <v>423</v>
      </c>
    </row>
    <row r="15" spans="1:11">
      <c r="A15" s="1">
        <v>40238</v>
      </c>
      <c r="B15">
        <v>62</v>
      </c>
      <c r="C15">
        <v>138</v>
      </c>
      <c r="D15">
        <v>149</v>
      </c>
    </row>
    <row r="16" spans="1:11">
      <c r="A16" s="1">
        <v>40330</v>
      </c>
      <c r="B16">
        <v>32</v>
      </c>
      <c r="C16">
        <v>180</v>
      </c>
      <c r="D16">
        <v>105</v>
      </c>
    </row>
    <row r="17" spans="1:7">
      <c r="A17" s="1">
        <v>40422</v>
      </c>
      <c r="B17">
        <v>19</v>
      </c>
      <c r="C17">
        <v>71</v>
      </c>
      <c r="D17">
        <v>96</v>
      </c>
    </row>
    <row r="18" spans="1:7">
      <c r="A18" s="1">
        <v>40513</v>
      </c>
      <c r="B18">
        <v>66</v>
      </c>
      <c r="C18">
        <v>462</v>
      </c>
      <c r="D18">
        <v>347</v>
      </c>
    </row>
    <row r="19" spans="1:7">
      <c r="A19" s="1">
        <v>40603</v>
      </c>
      <c r="B19">
        <v>14</v>
      </c>
      <c r="C19">
        <v>65</v>
      </c>
      <c r="D19">
        <v>57</v>
      </c>
    </row>
    <row r="20" spans="1:7">
      <c r="A20" s="1">
        <v>40695</v>
      </c>
      <c r="B20">
        <v>11</v>
      </c>
      <c r="C20">
        <v>53</v>
      </c>
      <c r="D20">
        <v>92</v>
      </c>
    </row>
    <row r="21" spans="1:7">
      <c r="A21" s="1">
        <v>40787</v>
      </c>
      <c r="B21">
        <v>20</v>
      </c>
      <c r="C21">
        <v>73</v>
      </c>
      <c r="D21">
        <v>85</v>
      </c>
    </row>
    <row r="22" spans="1:7">
      <c r="A22" s="1">
        <v>40878</v>
      </c>
      <c r="B22">
        <v>52</v>
      </c>
      <c r="C22">
        <v>281</v>
      </c>
      <c r="D22">
        <v>227</v>
      </c>
    </row>
    <row r="23" spans="1:7">
      <c r="A23" s="1">
        <v>40969</v>
      </c>
      <c r="B23">
        <v>2</v>
      </c>
      <c r="C23">
        <v>45</v>
      </c>
      <c r="D23">
        <v>41</v>
      </c>
    </row>
    <row r="24" spans="1:7">
      <c r="A24" s="1">
        <v>41061</v>
      </c>
      <c r="B24">
        <v>6</v>
      </c>
      <c r="C24">
        <v>21</v>
      </c>
      <c r="D24">
        <v>44</v>
      </c>
    </row>
    <row r="25" spans="1:7">
      <c r="A25" s="1">
        <v>41153</v>
      </c>
      <c r="B25">
        <v>12</v>
      </c>
      <c r="C25">
        <v>20</v>
      </c>
      <c r="D25">
        <v>29</v>
      </c>
    </row>
    <row r="26" spans="1:7">
      <c r="A26" s="1">
        <v>41244</v>
      </c>
      <c r="B26">
        <v>5</v>
      </c>
      <c r="C26">
        <v>144</v>
      </c>
      <c r="D26">
        <v>72</v>
      </c>
      <c r="E26">
        <v>83</v>
      </c>
      <c r="F26">
        <v>132</v>
      </c>
      <c r="G26">
        <v>90</v>
      </c>
    </row>
    <row r="27" spans="1:7">
      <c r="A27" s="1">
        <v>41334</v>
      </c>
      <c r="B27">
        <v>2</v>
      </c>
      <c r="C27">
        <v>20</v>
      </c>
      <c r="D27">
        <v>23</v>
      </c>
      <c r="E27">
        <v>9</v>
      </c>
      <c r="F27">
        <v>19</v>
      </c>
      <c r="G27">
        <v>11</v>
      </c>
    </row>
    <row r="28" spans="1:7">
      <c r="A28" s="1">
        <v>41426</v>
      </c>
      <c r="B28">
        <f>accum_quarterly_data!B30</f>
        <v>2</v>
      </c>
      <c r="C28">
        <f>accum_quarterly_data!C30</f>
        <v>10</v>
      </c>
      <c r="D28">
        <f>accum_quarterly_data!D30</f>
        <v>9</v>
      </c>
      <c r="E28">
        <f>accum_quarterly_data!E30</f>
        <v>9</v>
      </c>
      <c r="F28">
        <f>accum_quarterly_data!F30</f>
        <v>6</v>
      </c>
      <c r="G28">
        <f>accum_quarterly_data!G30</f>
        <v>1</v>
      </c>
    </row>
    <row r="29" spans="1:7">
      <c r="A29" s="1">
        <v>41518</v>
      </c>
      <c r="B29">
        <f>accum_quarterly_data!B31-accum_quarterly_data!B30</f>
        <v>2</v>
      </c>
      <c r="C29">
        <f>accum_quarterly_data!C31-accum_quarterly_data!C30</f>
        <v>18</v>
      </c>
      <c r="D29">
        <f>accum_quarterly_data!D31-accum_quarterly_data!D30</f>
        <v>6</v>
      </c>
      <c r="E29">
        <f>accum_quarterly_data!E31-accum_quarterly_data!E30</f>
        <v>14</v>
      </c>
      <c r="F29">
        <f>accum_quarterly_data!F31-accum_quarterly_data!F30</f>
        <v>17</v>
      </c>
      <c r="G29">
        <f>accum_quarterly_data!G31-accum_quarterly_data!G30</f>
        <v>0</v>
      </c>
    </row>
    <row r="30" spans="1:7">
      <c r="A30" s="1">
        <v>41609</v>
      </c>
      <c r="B30">
        <f>accum_quarterly_data!B32-accum_quarterly_data!B31</f>
        <v>0</v>
      </c>
      <c r="C30">
        <f>accum_quarterly_data!C32-accum_quarterly_data!C31</f>
        <v>35</v>
      </c>
      <c r="D30">
        <f>accum_quarterly_data!D32-accum_quarterly_data!D31</f>
        <v>25</v>
      </c>
      <c r="E30">
        <f>accum_quarterly_data!E32-accum_quarterly_data!E31</f>
        <v>60</v>
      </c>
      <c r="F30">
        <f>accum_quarterly_data!F32-accum_quarterly_data!F31</f>
        <v>97</v>
      </c>
      <c r="G30">
        <f>accum_quarterly_data!G32-accum_quarterly_data!G31</f>
        <v>47</v>
      </c>
    </row>
    <row r="31" spans="1:7">
      <c r="A31" s="1">
        <v>41699</v>
      </c>
      <c r="B31">
        <f>accum_quarterly_data!B33-accum_quarterly_data!B32</f>
        <v>0</v>
      </c>
      <c r="C31">
        <f>accum_quarterly_data!C33-accum_quarterly_data!C32</f>
        <v>8</v>
      </c>
      <c r="D31">
        <f>accum_quarterly_data!D33-accum_quarterly_data!D32</f>
        <v>8</v>
      </c>
      <c r="E31">
        <f>accum_quarterly_data!E33-accum_quarterly_data!E32</f>
        <v>6</v>
      </c>
      <c r="F31">
        <f>accum_quarterly_data!F33-accum_quarterly_data!F32</f>
        <v>9</v>
      </c>
      <c r="G31">
        <f>accum_quarterly_data!G33-accum_quarterly_data!G32</f>
        <v>7</v>
      </c>
    </row>
    <row r="32" spans="1:7">
      <c r="A32" s="1">
        <v>41791</v>
      </c>
      <c r="B32">
        <f>accum_quarterly_data!B34</f>
        <v>0</v>
      </c>
      <c r="C32">
        <f>accum_quarterly_data!C34</f>
        <v>4</v>
      </c>
      <c r="D32">
        <f>accum_quarterly_data!D34</f>
        <v>5</v>
      </c>
      <c r="E32">
        <f>accum_quarterly_data!E34</f>
        <v>6</v>
      </c>
      <c r="F32">
        <f>accum_quarterly_data!F34</f>
        <v>28</v>
      </c>
      <c r="G32">
        <f>accum_quarterly_data!G34</f>
        <v>17</v>
      </c>
    </row>
    <row r="33" spans="1:11">
      <c r="A33" s="1">
        <v>41883</v>
      </c>
      <c r="B33">
        <f>accum_quarterly_data!B35-accum_quarterly_data!B34</f>
        <v>0</v>
      </c>
      <c r="C33">
        <f>accum_quarterly_data!C35-accum_quarterly_data!C34</f>
        <v>4</v>
      </c>
      <c r="D33">
        <f>accum_quarterly_data!D35-accum_quarterly_data!D34</f>
        <v>4</v>
      </c>
      <c r="E33">
        <f>accum_quarterly_data!E35-accum_quarterly_data!E34</f>
        <v>11</v>
      </c>
      <c r="F33">
        <f>accum_quarterly_data!F35-accum_quarterly_data!F34</f>
        <v>35</v>
      </c>
      <c r="G33">
        <f>accum_quarterly_data!G35-accum_quarterly_data!G34</f>
        <v>15</v>
      </c>
    </row>
    <row r="34" spans="1:11">
      <c r="A34" s="1">
        <v>41974</v>
      </c>
      <c r="B34">
        <f>accum_quarterly_data!B36-accum_quarterly_data!B35</f>
        <v>0</v>
      </c>
      <c r="C34">
        <f>accum_quarterly_data!C36-accum_quarterly_data!C35</f>
        <v>7</v>
      </c>
      <c r="D34">
        <f>accum_quarterly_data!D36-accum_quarterly_data!D35</f>
        <v>13</v>
      </c>
      <c r="E34">
        <f>accum_quarterly_data!E36-accum_quarterly_data!E35</f>
        <v>32</v>
      </c>
      <c r="F34">
        <f>accum_quarterly_data!F36-accum_quarterly_data!F35</f>
        <v>101</v>
      </c>
      <c r="G34">
        <f>accum_quarterly_data!G36-accum_quarterly_data!G35</f>
        <v>58</v>
      </c>
    </row>
    <row r="35" spans="1:11">
      <c r="A35" s="1">
        <v>42064</v>
      </c>
      <c r="B35">
        <f>accum_quarterly_data!B37-accum_quarterly_data!B36</f>
        <v>0</v>
      </c>
      <c r="C35">
        <f>accum_quarterly_data!C37-accum_quarterly_data!C36</f>
        <v>3</v>
      </c>
      <c r="D35">
        <f>accum_quarterly_data!D37-accum_quarterly_data!D36</f>
        <v>5</v>
      </c>
      <c r="E35">
        <f>accum_quarterly_data!E37-accum_quarterly_data!E36</f>
        <v>4</v>
      </c>
      <c r="F35">
        <f>accum_quarterly_data!F37-accum_quarterly_data!F36</f>
        <v>21</v>
      </c>
      <c r="G35">
        <f>accum_quarterly_data!G37-accum_quarterly_data!G36</f>
        <v>10</v>
      </c>
    </row>
    <row r="36" spans="1:11">
      <c r="A36" s="1">
        <v>42156</v>
      </c>
      <c r="B36" t="str">
        <f>accum_quarterly_data!B38</f>
        <v>-</v>
      </c>
      <c r="C36">
        <f>accum_quarterly_data!C38</f>
        <v>0</v>
      </c>
      <c r="D36">
        <f>accum_quarterly_data!D38</f>
        <v>4</v>
      </c>
      <c r="E36">
        <f>accum_quarterly_data!E38</f>
        <v>15</v>
      </c>
      <c r="F36">
        <f>accum_quarterly_data!F38</f>
        <v>19</v>
      </c>
      <c r="G36">
        <f>accum_quarterly_data!G38</f>
        <v>13</v>
      </c>
    </row>
    <row r="37" spans="1:11">
      <c r="A37" s="1">
        <v>42248</v>
      </c>
      <c r="B37" t="str">
        <f>accum_quarterly_data!B39</f>
        <v>-</v>
      </c>
      <c r="C37">
        <f>accum_quarterly_data!C39-accum_quarterly_data!C38</f>
        <v>0</v>
      </c>
      <c r="D37">
        <f>accum_quarterly_data!D39-accum_quarterly_data!D38</f>
        <v>4</v>
      </c>
      <c r="E37">
        <f>accum_quarterly_data!E39-accum_quarterly_data!E38</f>
        <v>7</v>
      </c>
      <c r="F37">
        <f>accum_quarterly_data!F39-accum_quarterly_data!F38</f>
        <v>36</v>
      </c>
      <c r="G37">
        <f>accum_quarterly_data!G39-accum_quarterly_data!G38</f>
        <v>18</v>
      </c>
    </row>
    <row r="38" spans="1:11">
      <c r="A38" s="1">
        <v>42339</v>
      </c>
      <c r="B38" t="str">
        <f>accum_quarterly_data!B40</f>
        <v>-</v>
      </c>
      <c r="C38">
        <f>accum_quarterly_data!C40-accum_quarterly_data!C39</f>
        <v>0</v>
      </c>
      <c r="D38">
        <f>accum_quarterly_data!D40-accum_quarterly_data!D39</f>
        <v>3</v>
      </c>
      <c r="E38">
        <f>accum_quarterly_data!E40-accum_quarterly_data!E39</f>
        <v>53</v>
      </c>
      <c r="F38">
        <f>accum_quarterly_data!F40-accum_quarterly_data!F39</f>
        <v>90</v>
      </c>
      <c r="G38">
        <f>accum_quarterly_data!G40-accum_quarterly_data!G39</f>
        <v>56</v>
      </c>
    </row>
    <row r="39" spans="1:11">
      <c r="A39" s="1">
        <v>42430</v>
      </c>
      <c r="B39" t="str">
        <f>accum_quarterly_data!B41</f>
        <v>-</v>
      </c>
      <c r="C39">
        <f>accum_quarterly_data!C41-accum_quarterly_data!C40</f>
        <v>0</v>
      </c>
      <c r="D39">
        <f>accum_quarterly_data!D41-accum_quarterly_data!D40</f>
        <v>0</v>
      </c>
      <c r="E39">
        <f>accum_quarterly_data!E41-accum_quarterly_data!E40</f>
        <v>5</v>
      </c>
      <c r="F39">
        <f>accum_quarterly_data!F41-accum_quarterly_data!F40</f>
        <v>9</v>
      </c>
      <c r="G39">
        <f>accum_quarterly_data!G41-accum_quarterly_data!G40</f>
        <v>4</v>
      </c>
    </row>
    <row r="40" spans="1:11">
      <c r="A40" s="1">
        <v>42522</v>
      </c>
      <c r="E40">
        <f>accum_quarterly_data!E42</f>
        <v>7</v>
      </c>
      <c r="F40">
        <f>accum_quarterly_data!F42</f>
        <v>9</v>
      </c>
      <c r="G40">
        <f>accum_quarterly_data!G42</f>
        <v>5</v>
      </c>
    </row>
    <row r="41" spans="1:11">
      <c r="A41" s="1">
        <v>42614</v>
      </c>
      <c r="E41">
        <f>accum_quarterly_data!E43-accum_quarterly_data!E42</f>
        <v>9</v>
      </c>
      <c r="F41">
        <f>accum_quarterly_data!F43-accum_quarterly_data!F42</f>
        <v>13</v>
      </c>
      <c r="G41">
        <f>accum_quarterly_data!G43-accum_quarterly_data!G42</f>
        <v>13</v>
      </c>
    </row>
    <row r="42" spans="1:11">
      <c r="A42" s="1">
        <v>42705</v>
      </c>
      <c r="E42">
        <f>accum_quarterly_data!E44-accum_quarterly_data!E43</f>
        <v>4</v>
      </c>
      <c r="F42">
        <f>accum_quarterly_data!F44-accum_quarterly_data!F43</f>
        <v>7</v>
      </c>
      <c r="G42">
        <f>accum_quarterly_data!G44-accum_quarterly_data!G43</f>
        <v>8</v>
      </c>
      <c r="H42">
        <f>accum_quarterly_data!H44-accum_quarterly_data!H43</f>
        <v>0</v>
      </c>
      <c r="I42">
        <f>accum_quarterly_data!I44-accum_quarterly_data!I43</f>
        <v>0</v>
      </c>
      <c r="J42">
        <f>accum_quarterly_data!J44-accum_quarterly_data!J43</f>
        <v>0</v>
      </c>
      <c r="K42">
        <f>accum_quarterly_data!K44-accum_quarterly_data!K43</f>
        <v>0</v>
      </c>
    </row>
    <row r="43" spans="1:11">
      <c r="A43" s="1">
        <v>42795</v>
      </c>
      <c r="E43">
        <f>accum_quarterly_data!E45-accum_quarterly_data!E44</f>
        <v>0</v>
      </c>
      <c r="F43">
        <f>accum_quarterly_data!F45-accum_quarterly_data!F44</f>
        <v>0</v>
      </c>
      <c r="G43">
        <f>accum_quarterly_data!G45-accum_quarterly_data!G44</f>
        <v>0</v>
      </c>
      <c r="H43">
        <f>accum_quarterly_data!H45-accum_quarterly_data!H44</f>
        <v>60</v>
      </c>
      <c r="I43">
        <f>accum_quarterly_data!I45-accum_quarterly_data!I44</f>
        <v>120</v>
      </c>
      <c r="J43">
        <f>accum_quarterly_data!J45-accum_quarterly_data!J44</f>
        <v>0</v>
      </c>
      <c r="K43">
        <f>accum_quarterly_data!K45-accum_quarterly_data!K44</f>
        <v>94</v>
      </c>
    </row>
    <row r="44" spans="1:11">
      <c r="A44" s="1">
        <v>42887</v>
      </c>
      <c r="H44">
        <f>accum_quarterly_data!H46</f>
        <v>52</v>
      </c>
      <c r="I44">
        <f>accum_quarterly_data!I46</f>
        <v>75</v>
      </c>
      <c r="J44">
        <f>accum_quarterly_data!J46</f>
        <v>0</v>
      </c>
      <c r="K44">
        <f>accum_quarterly_data!K46</f>
        <v>69</v>
      </c>
    </row>
    <row r="45" spans="1:11">
      <c r="A45" s="1">
        <v>42979</v>
      </c>
      <c r="H45">
        <f>accum_quarterly_data!H47-accum_quarterly_data!H46</f>
        <v>83</v>
      </c>
      <c r="I45">
        <f>accum_quarterly_data!I47-accum_quarterly_data!I46</f>
        <v>117</v>
      </c>
      <c r="J45">
        <f>accum_quarterly_data!J47-accum_quarterly_data!J46</f>
        <v>0</v>
      </c>
      <c r="K45">
        <f>accum_quarterly_data!K47-accum_quarterly_data!K46</f>
        <v>93</v>
      </c>
    </row>
    <row r="46" spans="1:11">
      <c r="A46" s="1">
        <v>43070</v>
      </c>
      <c r="H46">
        <f>accum_quarterly_data!H48-accum_quarterly_data!H47</f>
        <v>177</v>
      </c>
      <c r="I46">
        <f>accum_quarterly_data!I48-accum_quarterly_data!I47</f>
        <v>282</v>
      </c>
      <c r="J46">
        <f>accum_quarterly_data!J48-accum_quarterly_data!J47</f>
        <v>0</v>
      </c>
      <c r="K46">
        <f>accum_quarterly_data!K48-accum_quarterly_data!K47</f>
        <v>264</v>
      </c>
    </row>
    <row r="47" spans="1:11">
      <c r="A47" s="1">
        <v>43160</v>
      </c>
      <c r="H47">
        <f>accum_quarterly_data!H49-accum_quarterly_data!H48</f>
        <v>66</v>
      </c>
      <c r="I47">
        <f>accum_quarterly_data!I49-accum_quarterly_data!I48</f>
        <v>120</v>
      </c>
      <c r="J47">
        <f>accum_quarterly_data!J49-accum_quarterly_data!J48</f>
        <v>0</v>
      </c>
      <c r="K47">
        <f>accum_quarterly_data!K49-accum_quarterly_data!K48</f>
        <v>107</v>
      </c>
    </row>
    <row r="48" spans="1:11">
      <c r="A48" s="1">
        <v>43252</v>
      </c>
      <c r="H48">
        <f>accum_quarterly_data!H50</f>
        <v>50</v>
      </c>
      <c r="I48">
        <f>accum_quarterly_data!I50</f>
        <v>67</v>
      </c>
      <c r="J48">
        <f>accum_quarterly_data!J50</f>
        <v>0</v>
      </c>
      <c r="K48">
        <f>accum_quarterly_data!K50</f>
        <v>70</v>
      </c>
    </row>
    <row r="49" spans="1:11">
      <c r="A49" s="1">
        <v>43344</v>
      </c>
      <c r="H49">
        <f>accum_quarterly_data!H51-accum_quarterly_data!H50</f>
        <v>64</v>
      </c>
      <c r="I49">
        <f>accum_quarterly_data!I51-accum_quarterly_data!I50</f>
        <v>133</v>
      </c>
      <c r="J49">
        <f>accum_quarterly_data!J51-accum_quarterly_data!J50</f>
        <v>0</v>
      </c>
      <c r="K49">
        <f>accum_quarterly_data!K51-accum_quarterly_data!K50</f>
        <v>123</v>
      </c>
    </row>
    <row r="50" spans="1:11">
      <c r="A50" s="1">
        <v>43435</v>
      </c>
      <c r="H50">
        <f>accum_quarterly_data!H52-accum_quarterly_data!H51</f>
        <v>222</v>
      </c>
      <c r="I50">
        <f>accum_quarterly_data!I52-accum_quarterly_data!I51</f>
        <v>380</v>
      </c>
      <c r="J50">
        <f>accum_quarterly_data!J52-accum_quarterly_data!J51</f>
        <v>0</v>
      </c>
      <c r="K50">
        <f>accum_quarterly_data!K52-accum_quarterly_data!K51</f>
        <v>340</v>
      </c>
    </row>
    <row r="51" spans="1:11">
      <c r="A51" s="1">
        <v>43525</v>
      </c>
      <c r="H51">
        <f>accum_quarterly_data!H53-accum_quarterly_data!H52</f>
        <v>49</v>
      </c>
      <c r="I51">
        <f>accum_quarterly_data!I53-accum_quarterly_data!I52</f>
        <v>108</v>
      </c>
      <c r="J51">
        <f>accum_quarterly_data!J53-accum_quarterly_data!J52</f>
        <v>0</v>
      </c>
      <c r="K51">
        <f>accum_quarterly_data!K53-accum_quarterly_data!K52</f>
        <v>90</v>
      </c>
    </row>
    <row r="52" spans="1:11">
      <c r="A52" s="1">
        <v>43617</v>
      </c>
      <c r="H52">
        <f>accum_quarterly_data!H54</f>
        <v>53</v>
      </c>
      <c r="I52">
        <f>accum_quarterly_data!I54</f>
        <v>82</v>
      </c>
      <c r="J52">
        <f>accum_quarterly_data!J54</f>
        <v>0</v>
      </c>
      <c r="K52">
        <f>accum_quarterly_data!K54</f>
        <v>50</v>
      </c>
    </row>
    <row r="53" spans="1:11">
      <c r="A53" s="1">
        <v>43709</v>
      </c>
      <c r="H53">
        <f>accum_quarterly_data!H55-accum_quarterly_data!H54</f>
        <v>124</v>
      </c>
      <c r="I53">
        <f>accum_quarterly_data!I55-accum_quarterly_data!I54</f>
        <v>181</v>
      </c>
      <c r="J53">
        <f>accum_quarterly_data!J55-accum_quarterly_data!J54</f>
        <v>0</v>
      </c>
      <c r="K53">
        <f>accum_quarterly_data!K55-accum_quarterly_data!K54</f>
        <v>127</v>
      </c>
    </row>
    <row r="54" spans="1:11">
      <c r="A54" s="1">
        <v>43800</v>
      </c>
      <c r="H54">
        <f>accum_quarterly_data!H56-accum_quarterly_data!H55</f>
        <v>242</v>
      </c>
      <c r="I54">
        <f>accum_quarterly_data!I56-accum_quarterly_data!I55</f>
        <v>395</v>
      </c>
      <c r="J54">
        <f>accum_quarterly_data!J56-accum_quarterly_data!J55</f>
        <v>0</v>
      </c>
      <c r="K54">
        <f>accum_quarterly_data!K56-accum_quarterly_data!K55</f>
        <v>302</v>
      </c>
    </row>
    <row r="55" spans="1:11">
      <c r="A55" s="1">
        <v>43891</v>
      </c>
      <c r="H55">
        <f>accum_quarterly_data!H57-accum_quarterly_data!H56</f>
        <v>102</v>
      </c>
      <c r="I55">
        <f>accum_quarterly_data!I57-accum_quarterly_data!I56</f>
        <v>153</v>
      </c>
      <c r="J55">
        <f>accum_quarterly_data!J57-accum_quarterly_data!J56</f>
        <v>0</v>
      </c>
      <c r="K55">
        <f>accum_quarterly_data!K57-accum_quarterly_data!K56</f>
        <v>55</v>
      </c>
    </row>
    <row r="56" spans="1:11">
      <c r="A56" s="1">
        <v>43983</v>
      </c>
      <c r="H56">
        <f>accum_quarterly_data!H58</f>
        <v>115</v>
      </c>
      <c r="I56">
        <f>accum_quarterly_data!I58</f>
        <v>199</v>
      </c>
      <c r="J56">
        <f>accum_quarterly_data!J58</f>
        <v>161</v>
      </c>
      <c r="K56">
        <f>accum_quarterly_data!K58</f>
        <v>92</v>
      </c>
    </row>
    <row r="57" spans="1:11">
      <c r="A57" s="1">
        <v>44075</v>
      </c>
      <c r="H57">
        <f>accum_quarterly_data!H59-accum_quarterly_data!H58</f>
        <v>158</v>
      </c>
      <c r="I57">
        <f>accum_quarterly_data!I59-accum_quarterly_data!I58</f>
        <v>247</v>
      </c>
      <c r="J57">
        <f>accum_quarterly_data!J59-accum_quarterly_data!J58</f>
        <v>170</v>
      </c>
      <c r="K57">
        <f>accum_quarterly_data!K59-accum_quarterly_data!K58</f>
        <v>112</v>
      </c>
    </row>
    <row r="58" spans="1:11">
      <c r="A58" s="1">
        <v>44166</v>
      </c>
      <c r="H58">
        <f>accum_quarterly_data!H60-accum_quarterly_data!H59</f>
        <v>271</v>
      </c>
      <c r="I58">
        <f>accum_quarterly_data!I60-accum_quarterly_data!I59</f>
        <v>459</v>
      </c>
      <c r="J58">
        <f>accum_quarterly_data!J60-accum_quarterly_data!J59</f>
        <v>297</v>
      </c>
      <c r="K58">
        <f>accum_quarterly_data!K60-accum_quarterly_data!K59</f>
        <v>129</v>
      </c>
    </row>
    <row r="59" spans="1:11">
      <c r="A59" s="1">
        <v>44256</v>
      </c>
      <c r="H59">
        <f>accum_quarterly_data!H61-accum_quarterly_data!H60</f>
        <v>116</v>
      </c>
      <c r="I59">
        <f>accum_quarterly_data!I61-accum_quarterly_data!I60</f>
        <v>210</v>
      </c>
      <c r="J59">
        <f>accum_quarterly_data!J61-accum_quarterly_data!J60</f>
        <v>87</v>
      </c>
      <c r="K59">
        <f>accum_quarterly_data!K61-accum_quarterly_data!K60</f>
        <v>60</v>
      </c>
    </row>
    <row r="60" spans="1:11">
      <c r="A60" s="1">
        <v>44348</v>
      </c>
      <c r="H60">
        <f>accum_quarterly_data!H62</f>
        <v>116</v>
      </c>
      <c r="I60">
        <f>accum_quarterly_data!I62</f>
        <v>159</v>
      </c>
      <c r="J60">
        <f>accum_quarterly_data!J62</f>
        <v>108</v>
      </c>
      <c r="K60">
        <f>accum_quarterly_data!K62</f>
        <v>62</v>
      </c>
    </row>
    <row r="61" spans="1:11">
      <c r="A61" s="1">
        <v>44440</v>
      </c>
      <c r="H61">
        <f>accum_quarterly_data!H63-accum_quarterly_data!H62</f>
        <v>87</v>
      </c>
      <c r="I61">
        <f>accum_quarterly_data!I63-accum_quarterly_data!I62</f>
        <v>145</v>
      </c>
      <c r="J61">
        <f>accum_quarterly_data!J63-accum_quarterly_data!J62</f>
        <v>94</v>
      </c>
      <c r="K61">
        <f>accum_quarterly_data!K63-accum_quarterly_data!K62</f>
        <v>57</v>
      </c>
    </row>
    <row r="62" spans="1:11">
      <c r="A62" s="1">
        <v>44531</v>
      </c>
      <c r="H62">
        <f>accum_quarterly_data!H64-accum_quarterly_data!H63</f>
        <v>229</v>
      </c>
      <c r="I62">
        <f>accum_quarterly_data!I64-accum_quarterly_data!I63</f>
        <v>380</v>
      </c>
      <c r="J62">
        <f>accum_quarterly_data!J64-accum_quarterly_data!J63</f>
        <v>338</v>
      </c>
      <c r="K62">
        <f>accum_quarterly_data!K64-accum_quarterly_data!K63</f>
        <v>119</v>
      </c>
    </row>
    <row r="63" spans="1:11">
      <c r="A63" s="1">
        <v>44621</v>
      </c>
      <c r="H63">
        <f>accum_quarterly_data!H65-accum_quarterly_data!H64</f>
        <v>87</v>
      </c>
      <c r="I63">
        <f>accum_quarterly_data!I65-accum_quarterly_data!I64</f>
        <v>192</v>
      </c>
      <c r="J63">
        <f>accum_quarterly_data!J65-accum_quarterly_data!J64</f>
        <v>62</v>
      </c>
      <c r="K63">
        <f>accum_quarterly_data!K65-accum_quarterly_data!K64</f>
        <v>71</v>
      </c>
    </row>
    <row r="64" spans="1:11">
      <c r="A64" s="1">
        <v>44713</v>
      </c>
      <c r="H64">
        <f>accum_quarterly_data!H66</f>
        <v>72</v>
      </c>
      <c r="I64">
        <f>accum_quarterly_data!I66</f>
        <v>127</v>
      </c>
      <c r="J64">
        <f>accum_quarterly_data!J66</f>
        <v>111</v>
      </c>
      <c r="K64">
        <f>accum_quarterly_data!K66</f>
        <v>33</v>
      </c>
    </row>
    <row r="65" spans="1:11">
      <c r="A65" s="1">
        <v>44805</v>
      </c>
      <c r="H65">
        <f>accum_quarterly_data!H67-accum_quarterly_data!H66</f>
        <v>101</v>
      </c>
      <c r="I65">
        <f>accum_quarterly_data!I67-accum_quarterly_data!I66</f>
        <v>129</v>
      </c>
      <c r="J65">
        <f>accum_quarterly_data!J67-accum_quarterly_data!J66</f>
        <v>58</v>
      </c>
      <c r="K65">
        <f>accum_quarterly_data!K67-accum_quarterly_data!K66</f>
        <v>37</v>
      </c>
    </row>
    <row r="66" spans="1:11">
      <c r="A66" s="1">
        <v>44896</v>
      </c>
      <c r="H66">
        <f>accum_quarterly_data!H68-accum_quarterly_data!H67</f>
        <v>209</v>
      </c>
      <c r="I66">
        <f>accum_quarterly_data!I68-accum_quarterly_data!I67</f>
        <v>307</v>
      </c>
      <c r="J66">
        <f>accum_quarterly_data!J68-accum_quarterly_data!J67</f>
        <v>242</v>
      </c>
      <c r="K66">
        <f>accum_quarterly_data!K68-accum_quarterly_data!K67</f>
        <v>65</v>
      </c>
    </row>
    <row r="67" spans="1:11">
      <c r="A67" s="1">
        <v>44986</v>
      </c>
      <c r="H67">
        <f>accum_quarterly_data!H69-accum_quarterly_data!H68</f>
        <v>55</v>
      </c>
      <c r="I67">
        <f>accum_quarterly_data!I69-accum_quarterly_data!I68</f>
        <v>134</v>
      </c>
      <c r="J67">
        <f>accum_quarterly_data!J69-accum_quarterly_data!J68</f>
        <v>87</v>
      </c>
      <c r="K67">
        <f>accum_quarterly_data!K69-accum_quarterly_data!K68</f>
        <v>30</v>
      </c>
    </row>
    <row r="68" spans="1:11">
      <c r="A68" s="1">
        <v>45078</v>
      </c>
      <c r="H68">
        <f>accum_quarterly_data!H70</f>
        <v>120</v>
      </c>
      <c r="I68">
        <f>accum_quarterly_data!I70</f>
        <v>118</v>
      </c>
      <c r="J68">
        <f>accum_quarterly_data!J70</f>
        <v>94</v>
      </c>
      <c r="K68">
        <f>accum_quarterly_data!K70</f>
        <v>58</v>
      </c>
    </row>
    <row r="69" spans="1:11">
      <c r="A69" s="1">
        <v>45170</v>
      </c>
      <c r="H69">
        <f>accum_quarterly_data!H71-accum_quarterly_data!H70</f>
        <v>98</v>
      </c>
      <c r="I69">
        <f>accum_quarterly_data!I71-accum_quarterly_data!I70</f>
        <v>85</v>
      </c>
      <c r="J69">
        <f>accum_quarterly_data!J71-accum_quarterly_data!J70</f>
        <v>63</v>
      </c>
      <c r="K69">
        <f>accum_quarterly_data!K71-accum_quarterly_data!K70</f>
        <v>48</v>
      </c>
    </row>
    <row r="70" spans="1:11">
      <c r="A70" s="1">
        <v>45261</v>
      </c>
      <c r="H70">
        <f>accum_quarterly_data!H72-accum_quarterly_data!H71</f>
        <v>156</v>
      </c>
      <c r="I70">
        <f>accum_quarterly_data!I72-accum_quarterly_data!I71</f>
        <v>282</v>
      </c>
      <c r="J70">
        <f>accum_quarterly_data!J72-accum_quarterly_data!J71</f>
        <v>199</v>
      </c>
      <c r="K70">
        <f>accum_quarterly_data!K72-accum_quarterly_data!K71</f>
        <v>53</v>
      </c>
    </row>
    <row r="71" spans="1:11">
      <c r="A71" s="1">
        <v>45352</v>
      </c>
      <c r="H71">
        <f>accum_quarterly_data!H73-accum_quarterly_data!H72</f>
        <v>67</v>
      </c>
      <c r="I71">
        <f>accum_quarterly_data!I73-accum_quarterly_data!I72</f>
        <v>67</v>
      </c>
      <c r="J71">
        <f>accum_quarterly_data!J73-accum_quarterly_data!J72</f>
        <v>34</v>
      </c>
      <c r="K71">
        <f>accum_quarterly_data!K73-accum_quarterly_data!K72</f>
        <v>27</v>
      </c>
    </row>
    <row r="72" spans="1:11">
      <c r="A72" s="1">
        <v>45444</v>
      </c>
      <c r="H72" s="2">
        <v>79</v>
      </c>
      <c r="I72" s="2">
        <v>65</v>
      </c>
      <c r="J72" s="2">
        <v>41</v>
      </c>
      <c r="K72" s="2">
        <v>25</v>
      </c>
    </row>
    <row r="73" spans="1:11">
      <c r="A73" s="1">
        <v>45536</v>
      </c>
      <c r="H73" s="2">
        <v>83</v>
      </c>
      <c r="I73" s="2">
        <v>94</v>
      </c>
      <c r="J73" s="2">
        <v>62</v>
      </c>
      <c r="K73" s="2">
        <v>23</v>
      </c>
    </row>
    <row r="74" spans="1:11">
      <c r="A74" s="1">
        <v>45627</v>
      </c>
      <c r="H74" s="2">
        <v>120</v>
      </c>
      <c r="I74" s="2">
        <v>172</v>
      </c>
      <c r="J74" s="2">
        <v>148</v>
      </c>
      <c r="K74" s="2">
        <v>43</v>
      </c>
    </row>
    <row r="75" spans="1:11">
      <c r="A75" s="1">
        <v>45717</v>
      </c>
      <c r="H75" s="2">
        <v>38</v>
      </c>
      <c r="I75" s="2">
        <v>48</v>
      </c>
      <c r="J75" s="2">
        <v>20</v>
      </c>
      <c r="K75" s="2">
        <v>19</v>
      </c>
    </row>
    <row r="76" spans="1:11">
      <c r="A76" s="1">
        <v>45809</v>
      </c>
      <c r="H76" s="2">
        <v>29</v>
      </c>
      <c r="I76" s="2">
        <v>36</v>
      </c>
      <c r="J76" s="2">
        <v>24</v>
      </c>
      <c r="K76" s="2">
        <v>11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accum_quarterly_data</vt:lpstr>
      <vt:lpstr>quarterly_data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Fumi M</dc:creator>
  <cp:lastModifiedBy>Fumi M</cp:lastModifiedBy>
  <dcterms:created xsi:type="dcterms:W3CDTF">2025-06-28T23:47:34Z</dcterms:created>
  <dcterms:modified xsi:type="dcterms:W3CDTF">2025-08-06T07:43:37Z</dcterms:modified>
</cp:coreProperties>
</file>