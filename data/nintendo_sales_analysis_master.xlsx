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/Desktop/ProjectN/analysis_N/data/"/>
    </mc:Choice>
  </mc:AlternateContent>
  <xr:revisionPtr revIDLastSave="0" documentId="13_ncr:1_{7D4820A6-87F9-BE43-88A0-D19428F8D703}" xr6:coauthVersionLast="47" xr6:coauthVersionMax="47" xr10:uidLastSave="{00000000-0000-0000-0000-000000000000}"/>
  <bookViews>
    <workbookView xWindow="24540" yWindow="940" windowWidth="10020" windowHeight="19720" activeTab="1" xr2:uid="{C371500A-CFF0-2248-ADB5-44216218A76C}"/>
  </bookViews>
  <sheets>
    <sheet name="Wii" sheetId="1" r:id="rId1"/>
    <sheet name="WiiU" sheetId="4" r:id="rId2"/>
    <sheet name="swit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" i="4"/>
  <c r="A4" i="4"/>
  <c r="A5" i="4"/>
  <c r="A3" i="4"/>
  <c r="A4" i="2"/>
  <c r="A4" i="1"/>
  <c r="A3" i="2"/>
  <c r="A3" i="1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2" i="2"/>
  <c r="A2" i="1"/>
  <c r="AB7" i="1"/>
  <c r="X6" i="1"/>
  <c r="AB6" i="1"/>
  <c r="X7" i="1"/>
  <c r="T7" i="1"/>
  <c r="P7" i="1"/>
  <c r="T6" i="1"/>
  <c r="P6" i="1"/>
  <c r="T5" i="1"/>
  <c r="P5" i="1"/>
  <c r="T3" i="1"/>
  <c r="X3" i="1"/>
  <c r="P3" i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2" i="1"/>
</calcChain>
</file>

<file path=xl/sharedStrings.xml><?xml version="1.0" encoding="utf-8"?>
<sst xmlns="http://schemas.openxmlformats.org/spreadsheetml/2006/main" count="85" uniqueCount="38">
  <si>
    <t>fiscal_year</t>
  </si>
  <si>
    <t>quarter</t>
  </si>
  <si>
    <t>time_index</t>
  </si>
  <si>
    <t>is_q2</t>
  </si>
  <si>
    <t>is_q3</t>
  </si>
  <si>
    <t>is_q4</t>
  </si>
  <si>
    <t>event_new_model</t>
  </si>
  <si>
    <t>sales_title_A</t>
  </si>
  <si>
    <t>adstock_title_A</t>
  </si>
  <si>
    <t>-</t>
  </si>
  <si>
    <t>quarter</t>
    <phoneticPr fontId="1"/>
  </si>
  <si>
    <t>Sales_jp</t>
    <phoneticPr fontId="1"/>
  </si>
  <si>
    <t>Sales_us</t>
    <phoneticPr fontId="1"/>
  </si>
  <si>
    <t>Sales_eur</t>
    <phoneticPr fontId="1"/>
  </si>
  <si>
    <t>Sales_others</t>
    <phoneticPr fontId="1"/>
  </si>
  <si>
    <t>Sales_total</t>
    <phoneticPr fontId="1"/>
  </si>
  <si>
    <t>New スーパーマリオブラザーズ Wii</t>
  </si>
  <si>
    <t>Wii Sports Resort</t>
  </si>
  <si>
    <t>マリオカートWii (Mario Kart Wii)</t>
  </si>
  <si>
    <t>Wii_Sports_jp</t>
    <phoneticPr fontId="1"/>
  </si>
  <si>
    <t>Wii_Sports_others</t>
    <phoneticPr fontId="1"/>
  </si>
  <si>
    <t>Wii_Sports_total</t>
    <phoneticPr fontId="1"/>
  </si>
  <si>
    <t>Wii_Sports_adstock</t>
    <phoneticPr fontId="1"/>
  </si>
  <si>
    <t>はじめてのWii_jp</t>
    <phoneticPr fontId="1"/>
  </si>
  <si>
    <t>はじめてのWii_others</t>
    <phoneticPr fontId="1"/>
  </si>
  <si>
    <t>はじめてのWii_total</t>
    <phoneticPr fontId="1"/>
  </si>
  <si>
    <t>はじめてのWii_adstock</t>
    <phoneticPr fontId="1"/>
  </si>
  <si>
    <t>ゼルダ_トワイライト_jp</t>
    <phoneticPr fontId="1"/>
  </si>
  <si>
    <t>ゼルダ_トワイライト_others</t>
    <phoneticPr fontId="1"/>
  </si>
  <si>
    <t>ゼルダ_トワイライト_total</t>
    <phoneticPr fontId="1"/>
  </si>
  <si>
    <t>ゼルダ_トワイライト_adstock</t>
    <phoneticPr fontId="1"/>
  </si>
  <si>
    <t>Wii Fit_jp</t>
    <phoneticPr fontId="1"/>
  </si>
  <si>
    <t>Wii Fit_others</t>
    <phoneticPr fontId="1"/>
  </si>
  <si>
    <t>Wii Fit_total</t>
    <phoneticPr fontId="1"/>
  </si>
  <si>
    <t>Wii Fit_adstock</t>
    <phoneticPr fontId="1"/>
  </si>
  <si>
    <t>-</t>
    <phoneticPr fontId="1"/>
  </si>
  <si>
    <t>month / year</t>
    <phoneticPr fontId="1"/>
  </si>
  <si>
    <t>month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</si>
</sst>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7" fontId="2" fillId="0" borderId="0" xfId="0" applyNumberFormat="1" applyFont="1" applyAlignment="1">
      <alignment horizontal="right" vertical="top"/>
    </xf>
    <xf numFmtId="0" fontId="3" fillId="0" borderId="0" xfId="0" applyFont="1">
      <alignment vertical="center"/>
    </xf>
    <xf numFmtId="3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27C6-2E43-8641-8122-5F65F5819510}">
  <dimension ref="A1:AI41"/>
  <sheetViews>
    <sheetView workbookViewId="0">
      <pane xSplit="3" ySplit="1" topLeftCell="D21" activePane="bottomRight" state="frozen"/>
      <selection activeCell="K7" sqref="K7"/>
      <selection pane="topRight" activeCell="K7" sqref="K7"/>
      <selection pane="bottomLeft" activeCell="K7" sqref="K7"/>
      <selection pane="bottomRight" activeCell="B31" sqref="B31:B39"/>
    </sheetView>
  </sheetViews>
  <sheetFormatPr baseColWidth="10" defaultRowHeight="20"/>
  <cols>
    <col min="2" max="2" width="6.85546875" customWidth="1"/>
    <col min="3" max="4" width="6.7109375" customWidth="1"/>
    <col min="13" max="13" width="15.5703125" customWidth="1"/>
    <col min="14" max="16" width="17.5703125" customWidth="1"/>
    <col min="17" max="28" width="19.42578125" customWidth="1"/>
  </cols>
  <sheetData>
    <row r="1" spans="1:35">
      <c r="A1" t="s">
        <v>36</v>
      </c>
      <c r="B1" t="s">
        <v>0</v>
      </c>
      <c r="C1" t="s">
        <v>1</v>
      </c>
      <c r="D1" t="s">
        <v>37</v>
      </c>
      <c r="E1" t="s">
        <v>2</v>
      </c>
      <c r="F1" t="s">
        <v>11</v>
      </c>
      <c r="G1" t="s">
        <v>12</v>
      </c>
      <c r="H1" t="s">
        <v>14</v>
      </c>
      <c r="I1" t="s">
        <v>15</v>
      </c>
      <c r="J1" t="s">
        <v>3</v>
      </c>
      <c r="K1" t="s">
        <v>4</v>
      </c>
      <c r="L1" t="s">
        <v>5</v>
      </c>
      <c r="M1" t="s">
        <v>6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E1" t="s">
        <v>18</v>
      </c>
      <c r="AG1" t="s">
        <v>16</v>
      </c>
      <c r="AI1" t="s">
        <v>17</v>
      </c>
    </row>
    <row r="2" spans="1:35">
      <c r="A2" t="str">
        <f>D2&amp; "/" &amp;B2</f>
        <v>12/2006</v>
      </c>
      <c r="B2">
        <v>2006</v>
      </c>
      <c r="C2">
        <v>3</v>
      </c>
      <c r="D2">
        <v>12</v>
      </c>
      <c r="E2">
        <v>1</v>
      </c>
      <c r="F2">
        <v>114</v>
      </c>
      <c r="G2">
        <v>125</v>
      </c>
      <c r="H2">
        <v>80</v>
      </c>
      <c r="I2">
        <f>SUM(F2:H2)</f>
        <v>319</v>
      </c>
    </row>
    <row r="3" spans="1:35">
      <c r="A3" t="str">
        <f>D3&amp; "/" &amp;B3</f>
        <v>3/2007</v>
      </c>
      <c r="B3">
        <v>2007</v>
      </c>
      <c r="C3">
        <v>4</v>
      </c>
      <c r="D3">
        <v>3</v>
      </c>
      <c r="E3">
        <v>2</v>
      </c>
      <c r="F3">
        <v>86</v>
      </c>
      <c r="G3">
        <v>112</v>
      </c>
      <c r="H3">
        <v>67</v>
      </c>
      <c r="I3">
        <f t="shared" ref="I3:I39" si="0">SUM(F3:H3)</f>
        <v>265</v>
      </c>
      <c r="N3">
        <v>143</v>
      </c>
      <c r="O3">
        <v>384</v>
      </c>
      <c r="P3">
        <f>SUM(N3:O3)</f>
        <v>527</v>
      </c>
      <c r="R3">
        <v>121</v>
      </c>
      <c r="S3">
        <v>141</v>
      </c>
      <c r="T3">
        <f>SUM(R3:S3)</f>
        <v>262</v>
      </c>
      <c r="V3">
        <v>56</v>
      </c>
      <c r="W3">
        <v>271</v>
      </c>
      <c r="X3">
        <f>SUM(V3:W3)</f>
        <v>327</v>
      </c>
    </row>
    <row r="4" spans="1:35">
      <c r="A4" t="str">
        <f>D4&amp; "/" &amp;B4</f>
        <v>6/2007</v>
      </c>
      <c r="B4">
        <v>2007</v>
      </c>
      <c r="C4">
        <v>1</v>
      </c>
      <c r="D4">
        <v>6</v>
      </c>
      <c r="E4">
        <v>3</v>
      </c>
      <c r="F4">
        <v>95</v>
      </c>
      <c r="G4">
        <v>144</v>
      </c>
      <c r="H4">
        <v>104</v>
      </c>
      <c r="I4">
        <f t="shared" si="0"/>
        <v>343</v>
      </c>
    </row>
    <row r="5" spans="1:35">
      <c r="A5" t="str">
        <f t="shared" ref="A5:A39" si="1">D5&amp; "/" &amp;B5</f>
        <v>9/2007</v>
      </c>
      <c r="B5">
        <v>2007</v>
      </c>
      <c r="C5">
        <v>2</v>
      </c>
      <c r="D5">
        <v>9</v>
      </c>
      <c r="E5">
        <v>4</v>
      </c>
      <c r="F5">
        <v>72</v>
      </c>
      <c r="G5">
        <v>165</v>
      </c>
      <c r="H5">
        <v>154</v>
      </c>
      <c r="I5">
        <f t="shared" si="0"/>
        <v>391</v>
      </c>
      <c r="N5">
        <v>93</v>
      </c>
      <c r="O5">
        <v>566</v>
      </c>
      <c r="P5">
        <f>SUM(N5:O5)</f>
        <v>659</v>
      </c>
      <c r="R5">
        <v>66</v>
      </c>
      <c r="S5">
        <v>303</v>
      </c>
      <c r="T5">
        <f>SUM(R5:S5)</f>
        <v>369</v>
      </c>
    </row>
    <row r="6" spans="1:35">
      <c r="A6" t="str">
        <f t="shared" si="1"/>
        <v>12/2007</v>
      </c>
      <c r="B6">
        <v>2007</v>
      </c>
      <c r="C6">
        <v>3</v>
      </c>
      <c r="D6">
        <v>12</v>
      </c>
      <c r="E6">
        <v>5</v>
      </c>
      <c r="F6">
        <v>132</v>
      </c>
      <c r="G6">
        <v>339</v>
      </c>
      <c r="H6">
        <v>226</v>
      </c>
      <c r="I6">
        <f t="shared" si="0"/>
        <v>697</v>
      </c>
      <c r="N6">
        <v>34</v>
      </c>
      <c r="O6">
        <v>565</v>
      </c>
      <c r="P6">
        <f>SUM(N6:O6)</f>
        <v>599</v>
      </c>
      <c r="R6">
        <v>35</v>
      </c>
      <c r="S6">
        <v>257</v>
      </c>
      <c r="T6">
        <f>SUM(R6:S6)</f>
        <v>292</v>
      </c>
      <c r="V6">
        <v>0</v>
      </c>
      <c r="W6">
        <v>103</v>
      </c>
      <c r="X6">
        <f>SUM(V6:W6)</f>
        <v>103</v>
      </c>
      <c r="Z6">
        <v>105</v>
      </c>
      <c r="AA6" t="s">
        <v>35</v>
      </c>
      <c r="AB6">
        <f>SUM(Z6:AA6)</f>
        <v>105</v>
      </c>
    </row>
    <row r="7" spans="1:35">
      <c r="A7" t="str">
        <f t="shared" si="1"/>
        <v>3/2008</v>
      </c>
      <c r="B7">
        <v>2008</v>
      </c>
      <c r="C7">
        <v>4</v>
      </c>
      <c r="D7">
        <v>3</v>
      </c>
      <c r="E7">
        <v>6</v>
      </c>
      <c r="F7">
        <v>92</v>
      </c>
      <c r="G7">
        <v>176</v>
      </c>
      <c r="H7">
        <v>164</v>
      </c>
      <c r="I7">
        <f t="shared" si="0"/>
        <v>432</v>
      </c>
      <c r="N7">
        <v>32</v>
      </c>
      <c r="O7">
        <v>339</v>
      </c>
      <c r="P7">
        <f>SUM(N7:O7)</f>
        <v>371</v>
      </c>
      <c r="R7">
        <v>21</v>
      </c>
      <c r="S7">
        <v>206</v>
      </c>
      <c r="T7">
        <f>SUM(R7:S7)</f>
        <v>227</v>
      </c>
      <c r="V7">
        <v>1</v>
      </c>
      <c r="W7">
        <v>20</v>
      </c>
      <c r="X7">
        <f>SUM(V7:W7)</f>
        <v>21</v>
      </c>
      <c r="Z7">
        <v>80</v>
      </c>
      <c r="AA7">
        <v>0</v>
      </c>
      <c r="AB7">
        <f>SUM(Z7:AA7)</f>
        <v>80</v>
      </c>
    </row>
    <row r="8" spans="1:35">
      <c r="A8" t="str">
        <f t="shared" si="1"/>
        <v>6/2008</v>
      </c>
      <c r="B8">
        <v>2008</v>
      </c>
      <c r="C8">
        <v>1</v>
      </c>
      <c r="D8">
        <v>6</v>
      </c>
      <c r="E8">
        <v>7</v>
      </c>
      <c r="F8">
        <v>53</v>
      </c>
      <c r="G8">
        <v>250</v>
      </c>
      <c r="H8">
        <v>215</v>
      </c>
      <c r="I8">
        <f t="shared" si="0"/>
        <v>518</v>
      </c>
    </row>
    <row r="9" spans="1:35">
      <c r="A9" t="str">
        <f t="shared" si="1"/>
        <v>9/2008</v>
      </c>
      <c r="B9">
        <v>2008</v>
      </c>
      <c r="C9">
        <v>2</v>
      </c>
      <c r="D9">
        <v>9</v>
      </c>
      <c r="E9">
        <v>8</v>
      </c>
      <c r="F9">
        <v>48</v>
      </c>
      <c r="G9">
        <v>208</v>
      </c>
      <c r="H9">
        <v>237</v>
      </c>
      <c r="I9">
        <f t="shared" si="0"/>
        <v>493</v>
      </c>
    </row>
    <row r="10" spans="1:35">
      <c r="A10" t="str">
        <f t="shared" si="1"/>
        <v>12/2008</v>
      </c>
      <c r="B10">
        <v>2008</v>
      </c>
      <c r="C10">
        <v>3</v>
      </c>
      <c r="D10">
        <v>12</v>
      </c>
      <c r="E10">
        <v>9</v>
      </c>
      <c r="F10">
        <v>89</v>
      </c>
      <c r="G10">
        <v>522</v>
      </c>
      <c r="H10">
        <v>432</v>
      </c>
      <c r="I10">
        <f t="shared" si="0"/>
        <v>1043</v>
      </c>
    </row>
    <row r="11" spans="1:35">
      <c r="A11" t="str">
        <f t="shared" si="1"/>
        <v>3/2009</v>
      </c>
      <c r="B11">
        <v>2009</v>
      </c>
      <c r="C11">
        <v>4</v>
      </c>
      <c r="D11">
        <v>3</v>
      </c>
      <c r="E11">
        <v>10</v>
      </c>
      <c r="F11">
        <v>16</v>
      </c>
      <c r="G11">
        <v>314</v>
      </c>
      <c r="H11">
        <v>213</v>
      </c>
      <c r="I11">
        <f t="shared" si="0"/>
        <v>543</v>
      </c>
    </row>
    <row r="12" spans="1:35">
      <c r="A12" t="str">
        <f t="shared" si="1"/>
        <v>6/2009</v>
      </c>
      <c r="B12">
        <v>2009</v>
      </c>
      <c r="C12">
        <v>1</v>
      </c>
      <c r="D12">
        <v>6</v>
      </c>
      <c r="E12">
        <v>11</v>
      </c>
      <c r="F12">
        <v>21</v>
      </c>
      <c r="G12">
        <v>88</v>
      </c>
      <c r="H12">
        <v>114</v>
      </c>
      <c r="I12">
        <f t="shared" si="0"/>
        <v>223</v>
      </c>
    </row>
    <row r="13" spans="1:35">
      <c r="A13" t="str">
        <f t="shared" si="1"/>
        <v>9/2009</v>
      </c>
      <c r="B13">
        <v>2009</v>
      </c>
      <c r="C13">
        <v>2</v>
      </c>
      <c r="D13">
        <v>9</v>
      </c>
      <c r="E13">
        <v>12</v>
      </c>
      <c r="F13">
        <v>51</v>
      </c>
      <c r="G13">
        <v>157</v>
      </c>
      <c r="H13">
        <v>145</v>
      </c>
      <c r="I13">
        <f t="shared" si="0"/>
        <v>353</v>
      </c>
    </row>
    <row r="14" spans="1:35">
      <c r="A14" t="str">
        <f t="shared" si="1"/>
        <v>12/2009</v>
      </c>
      <c r="B14">
        <v>2009</v>
      </c>
      <c r="C14">
        <v>3</v>
      </c>
      <c r="D14">
        <v>12</v>
      </c>
      <c r="E14">
        <v>13</v>
      </c>
      <c r="F14">
        <v>104</v>
      </c>
      <c r="G14">
        <v>604</v>
      </c>
      <c r="H14">
        <v>423</v>
      </c>
      <c r="I14">
        <f t="shared" si="0"/>
        <v>1131</v>
      </c>
    </row>
    <row r="15" spans="1:35">
      <c r="A15" t="str">
        <f t="shared" si="1"/>
        <v>3/2010</v>
      </c>
      <c r="B15">
        <v>2010</v>
      </c>
      <c r="C15">
        <v>4</v>
      </c>
      <c r="D15">
        <v>3</v>
      </c>
      <c r="E15">
        <v>14</v>
      </c>
      <c r="F15">
        <v>62</v>
      </c>
      <c r="G15">
        <v>138</v>
      </c>
      <c r="H15">
        <v>149</v>
      </c>
      <c r="I15">
        <f t="shared" si="0"/>
        <v>349</v>
      </c>
    </row>
    <row r="16" spans="1:35">
      <c r="A16" t="str">
        <f t="shared" si="1"/>
        <v>6/2010</v>
      </c>
      <c r="B16">
        <v>2010</v>
      </c>
      <c r="C16">
        <v>1</v>
      </c>
      <c r="D16">
        <v>6</v>
      </c>
      <c r="E16">
        <v>15</v>
      </c>
      <c r="F16">
        <v>32</v>
      </c>
      <c r="G16">
        <v>180</v>
      </c>
      <c r="H16">
        <v>105</v>
      </c>
      <c r="I16">
        <f t="shared" si="0"/>
        <v>317</v>
      </c>
    </row>
    <row r="17" spans="1:28">
      <c r="A17" t="str">
        <f t="shared" si="1"/>
        <v>9/2010</v>
      </c>
      <c r="B17">
        <v>2010</v>
      </c>
      <c r="C17">
        <v>2</v>
      </c>
      <c r="D17">
        <v>9</v>
      </c>
      <c r="E17">
        <v>16</v>
      </c>
      <c r="F17">
        <v>19</v>
      </c>
      <c r="G17">
        <v>71</v>
      </c>
      <c r="H17">
        <v>96</v>
      </c>
      <c r="I17">
        <f t="shared" si="0"/>
        <v>186</v>
      </c>
    </row>
    <row r="18" spans="1:28">
      <c r="A18" t="str">
        <f t="shared" si="1"/>
        <v>12/2010</v>
      </c>
      <c r="B18">
        <v>2010</v>
      </c>
      <c r="C18">
        <v>3</v>
      </c>
      <c r="D18">
        <v>12</v>
      </c>
      <c r="E18">
        <v>17</v>
      </c>
      <c r="F18">
        <v>66</v>
      </c>
      <c r="G18">
        <v>462</v>
      </c>
      <c r="H18">
        <v>347</v>
      </c>
      <c r="I18">
        <f t="shared" si="0"/>
        <v>875</v>
      </c>
    </row>
    <row r="19" spans="1:28">
      <c r="A19" t="str">
        <f t="shared" si="1"/>
        <v>3/2011</v>
      </c>
      <c r="B19">
        <v>2011</v>
      </c>
      <c r="C19">
        <v>4</v>
      </c>
      <c r="D19">
        <v>3</v>
      </c>
      <c r="E19">
        <v>18</v>
      </c>
      <c r="F19">
        <v>14</v>
      </c>
      <c r="G19">
        <v>65</v>
      </c>
      <c r="H19">
        <v>57</v>
      </c>
      <c r="I19">
        <f t="shared" si="0"/>
        <v>136</v>
      </c>
    </row>
    <row r="20" spans="1:28">
      <c r="A20" t="str">
        <f t="shared" si="1"/>
        <v>6/2011</v>
      </c>
      <c r="B20">
        <v>2011</v>
      </c>
      <c r="C20">
        <v>1</v>
      </c>
      <c r="D20">
        <v>6</v>
      </c>
      <c r="E20">
        <v>19</v>
      </c>
      <c r="F20">
        <v>11</v>
      </c>
      <c r="G20">
        <v>53</v>
      </c>
      <c r="H20">
        <v>92</v>
      </c>
      <c r="I20">
        <f t="shared" si="0"/>
        <v>156</v>
      </c>
    </row>
    <row r="21" spans="1:28">
      <c r="A21" t="str">
        <f t="shared" si="1"/>
        <v>9/2011</v>
      </c>
      <c r="B21">
        <v>2011</v>
      </c>
      <c r="C21">
        <v>2</v>
      </c>
      <c r="D21">
        <v>9</v>
      </c>
      <c r="E21">
        <v>20</v>
      </c>
      <c r="F21">
        <v>20</v>
      </c>
      <c r="G21">
        <v>73</v>
      </c>
      <c r="H21">
        <v>85</v>
      </c>
      <c r="I21">
        <f t="shared" si="0"/>
        <v>178</v>
      </c>
    </row>
    <row r="22" spans="1:28">
      <c r="A22" t="str">
        <f t="shared" si="1"/>
        <v>12/2011</v>
      </c>
      <c r="B22">
        <v>2011</v>
      </c>
      <c r="C22">
        <v>3</v>
      </c>
      <c r="D22">
        <v>12</v>
      </c>
      <c r="E22">
        <v>21</v>
      </c>
      <c r="F22">
        <v>52</v>
      </c>
      <c r="G22">
        <v>281</v>
      </c>
      <c r="H22">
        <v>227</v>
      </c>
      <c r="I22">
        <f t="shared" si="0"/>
        <v>560</v>
      </c>
    </row>
    <row r="23" spans="1:28">
      <c r="A23" t="str">
        <f t="shared" si="1"/>
        <v>3/2012</v>
      </c>
      <c r="B23">
        <v>2012</v>
      </c>
      <c r="C23">
        <v>4</v>
      </c>
      <c r="D23">
        <v>3</v>
      </c>
      <c r="E23">
        <v>22</v>
      </c>
      <c r="F23">
        <v>2</v>
      </c>
      <c r="G23">
        <v>45</v>
      </c>
      <c r="H23">
        <v>41</v>
      </c>
      <c r="I23">
        <f t="shared" si="0"/>
        <v>88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t="str">
        <f t="shared" si="1"/>
        <v>6/2012</v>
      </c>
      <c r="B24">
        <v>2012</v>
      </c>
      <c r="C24">
        <v>1</v>
      </c>
      <c r="D24">
        <v>6</v>
      </c>
      <c r="E24">
        <v>23</v>
      </c>
      <c r="F24">
        <v>6</v>
      </c>
      <c r="G24">
        <v>21</v>
      </c>
      <c r="H24">
        <v>44</v>
      </c>
      <c r="I24">
        <f t="shared" si="0"/>
        <v>71</v>
      </c>
    </row>
    <row r="25" spans="1:28">
      <c r="A25" t="str">
        <f t="shared" si="1"/>
        <v>9/2012</v>
      </c>
      <c r="B25">
        <v>2012</v>
      </c>
      <c r="C25">
        <v>2</v>
      </c>
      <c r="D25">
        <v>9</v>
      </c>
      <c r="E25">
        <v>24</v>
      </c>
      <c r="F25">
        <v>12</v>
      </c>
      <c r="G25">
        <v>20</v>
      </c>
      <c r="H25">
        <v>29</v>
      </c>
      <c r="I25">
        <f t="shared" si="0"/>
        <v>61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t="str">
        <f t="shared" si="1"/>
        <v>12/2012</v>
      </c>
      <c r="B26">
        <v>2012</v>
      </c>
      <c r="C26">
        <v>3</v>
      </c>
      <c r="D26">
        <v>12</v>
      </c>
      <c r="E26">
        <v>25</v>
      </c>
      <c r="F26">
        <v>5</v>
      </c>
      <c r="G26">
        <v>144</v>
      </c>
      <c r="H26">
        <v>72</v>
      </c>
      <c r="I26">
        <f t="shared" si="0"/>
        <v>221</v>
      </c>
    </row>
    <row r="27" spans="1:28">
      <c r="A27" t="str">
        <f t="shared" si="1"/>
        <v>3/2013</v>
      </c>
      <c r="B27">
        <v>2013</v>
      </c>
      <c r="C27">
        <v>4</v>
      </c>
      <c r="D27">
        <v>3</v>
      </c>
      <c r="E27">
        <v>26</v>
      </c>
      <c r="F27">
        <v>2</v>
      </c>
      <c r="G27">
        <v>20</v>
      </c>
      <c r="H27">
        <v>23</v>
      </c>
      <c r="I27">
        <f t="shared" si="0"/>
        <v>45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t="str">
        <f t="shared" si="1"/>
        <v>6/2013</v>
      </c>
      <c r="B28">
        <v>2013</v>
      </c>
      <c r="C28">
        <v>1</v>
      </c>
      <c r="D28">
        <v>6</v>
      </c>
      <c r="E28">
        <v>27</v>
      </c>
      <c r="F28">
        <v>2</v>
      </c>
      <c r="G28">
        <v>10</v>
      </c>
      <c r="H28">
        <v>9</v>
      </c>
      <c r="I28">
        <f t="shared" si="0"/>
        <v>21</v>
      </c>
    </row>
    <row r="29" spans="1:28">
      <c r="A29" t="str">
        <f t="shared" si="1"/>
        <v>9/2013</v>
      </c>
      <c r="B29">
        <v>2013</v>
      </c>
      <c r="C29">
        <v>2</v>
      </c>
      <c r="D29">
        <v>9</v>
      </c>
      <c r="E29">
        <v>28</v>
      </c>
      <c r="F29">
        <v>2</v>
      </c>
      <c r="G29">
        <v>18</v>
      </c>
      <c r="H29">
        <v>6</v>
      </c>
      <c r="I29">
        <f t="shared" si="0"/>
        <v>26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t="str">
        <f t="shared" si="1"/>
        <v>12/2013</v>
      </c>
      <c r="B30">
        <v>2013</v>
      </c>
      <c r="C30">
        <v>3</v>
      </c>
      <c r="D30">
        <v>12</v>
      </c>
      <c r="E30">
        <v>29</v>
      </c>
      <c r="F30">
        <v>0</v>
      </c>
      <c r="G30">
        <v>35</v>
      </c>
      <c r="H30">
        <v>25</v>
      </c>
      <c r="I30">
        <f t="shared" si="0"/>
        <v>60</v>
      </c>
    </row>
    <row r="31" spans="1:28">
      <c r="A31" t="str">
        <f t="shared" si="1"/>
        <v>3/2014</v>
      </c>
      <c r="B31">
        <v>2014</v>
      </c>
      <c r="C31">
        <v>4</v>
      </c>
      <c r="D31">
        <v>3</v>
      </c>
      <c r="E31">
        <v>30</v>
      </c>
      <c r="F31">
        <v>0</v>
      </c>
      <c r="G31">
        <v>8</v>
      </c>
      <c r="H31">
        <v>8</v>
      </c>
      <c r="I31">
        <f t="shared" si="0"/>
        <v>16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t="str">
        <f t="shared" si="1"/>
        <v>6/2014</v>
      </c>
      <c r="B32">
        <v>2014</v>
      </c>
      <c r="C32">
        <v>1</v>
      </c>
      <c r="D32">
        <v>6</v>
      </c>
      <c r="E32">
        <v>31</v>
      </c>
      <c r="F32">
        <v>0</v>
      </c>
      <c r="G32">
        <v>4</v>
      </c>
      <c r="H32">
        <v>5</v>
      </c>
      <c r="I32">
        <f t="shared" si="0"/>
        <v>9</v>
      </c>
    </row>
    <row r="33" spans="1:28">
      <c r="A33" t="str">
        <f t="shared" si="1"/>
        <v>9/2014</v>
      </c>
      <c r="B33">
        <v>2014</v>
      </c>
      <c r="C33">
        <v>2</v>
      </c>
      <c r="D33">
        <v>9</v>
      </c>
      <c r="E33">
        <v>32</v>
      </c>
      <c r="F33">
        <v>0</v>
      </c>
      <c r="G33">
        <v>4</v>
      </c>
      <c r="H33">
        <v>4</v>
      </c>
      <c r="I33">
        <f t="shared" si="0"/>
        <v>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t="str">
        <f t="shared" si="1"/>
        <v>12/2014</v>
      </c>
      <c r="B34">
        <v>2014</v>
      </c>
      <c r="C34">
        <v>3</v>
      </c>
      <c r="D34">
        <v>12</v>
      </c>
      <c r="E34">
        <v>33</v>
      </c>
      <c r="F34">
        <v>0</v>
      </c>
      <c r="G34">
        <v>7</v>
      </c>
      <c r="H34">
        <v>13</v>
      </c>
      <c r="I34">
        <f t="shared" si="0"/>
        <v>20</v>
      </c>
    </row>
    <row r="35" spans="1:28">
      <c r="A35" t="str">
        <f t="shared" si="1"/>
        <v>3/2015</v>
      </c>
      <c r="B35">
        <v>2015</v>
      </c>
      <c r="C35">
        <v>4</v>
      </c>
      <c r="D35">
        <v>3</v>
      </c>
      <c r="E35">
        <v>34</v>
      </c>
      <c r="F35">
        <v>0</v>
      </c>
      <c r="G35">
        <v>3</v>
      </c>
      <c r="H35">
        <v>5</v>
      </c>
      <c r="I35">
        <f t="shared" si="0"/>
        <v>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t="str">
        <f t="shared" si="1"/>
        <v>6/2015</v>
      </c>
      <c r="B36">
        <v>2015</v>
      </c>
      <c r="C36">
        <v>1</v>
      </c>
      <c r="D36">
        <v>6</v>
      </c>
      <c r="E36">
        <v>35</v>
      </c>
      <c r="F36" t="s">
        <v>9</v>
      </c>
      <c r="G36">
        <v>0</v>
      </c>
      <c r="H36">
        <v>4</v>
      </c>
      <c r="I36">
        <f t="shared" si="0"/>
        <v>4</v>
      </c>
    </row>
    <row r="37" spans="1:28">
      <c r="A37" t="str">
        <f t="shared" si="1"/>
        <v>9/2015</v>
      </c>
      <c r="B37">
        <v>2015</v>
      </c>
      <c r="C37">
        <v>2</v>
      </c>
      <c r="D37">
        <v>9</v>
      </c>
      <c r="E37">
        <v>36</v>
      </c>
      <c r="F37" t="s">
        <v>9</v>
      </c>
      <c r="G37">
        <v>0</v>
      </c>
      <c r="H37">
        <v>4</v>
      </c>
      <c r="I37">
        <f t="shared" si="0"/>
        <v>4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t="str">
        <f t="shared" si="1"/>
        <v>12/2015</v>
      </c>
      <c r="B38">
        <v>2015</v>
      </c>
      <c r="C38">
        <v>3</v>
      </c>
      <c r="D38">
        <v>12</v>
      </c>
      <c r="E38">
        <v>37</v>
      </c>
      <c r="F38" t="s">
        <v>9</v>
      </c>
      <c r="G38">
        <v>0</v>
      </c>
      <c r="H38">
        <v>3</v>
      </c>
      <c r="I38">
        <f t="shared" si="0"/>
        <v>3</v>
      </c>
    </row>
    <row r="39" spans="1:28">
      <c r="A39" t="str">
        <f t="shared" si="1"/>
        <v>3/2016</v>
      </c>
      <c r="B39">
        <v>2016</v>
      </c>
      <c r="C39">
        <v>4</v>
      </c>
      <c r="D39">
        <v>3</v>
      </c>
      <c r="E39">
        <v>38</v>
      </c>
      <c r="F39" t="s">
        <v>9</v>
      </c>
      <c r="G39">
        <v>0</v>
      </c>
      <c r="H39">
        <v>0</v>
      </c>
      <c r="I39">
        <f t="shared" si="0"/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1" spans="1:28"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CC6B-4663-834B-9137-9BF863403251}">
  <dimension ref="A1:AI19"/>
  <sheetViews>
    <sheetView tabSelected="1" topLeftCell="C1" workbookViewId="0">
      <selection activeCell="F26" sqref="F26"/>
    </sheetView>
  </sheetViews>
  <sheetFormatPr baseColWidth="10" defaultRowHeight="20"/>
  <sheetData>
    <row r="1" spans="1:35">
      <c r="A1" t="s">
        <v>36</v>
      </c>
      <c r="B1" t="s">
        <v>0</v>
      </c>
      <c r="C1" t="s">
        <v>1</v>
      </c>
      <c r="D1" t="s">
        <v>37</v>
      </c>
      <c r="E1" t="s">
        <v>2</v>
      </c>
      <c r="F1" t="s">
        <v>11</v>
      </c>
      <c r="G1" t="s">
        <v>12</v>
      </c>
      <c r="H1" t="s">
        <v>14</v>
      </c>
      <c r="I1" t="s">
        <v>15</v>
      </c>
      <c r="J1" t="s">
        <v>3</v>
      </c>
      <c r="K1" t="s">
        <v>4</v>
      </c>
      <c r="L1" t="s">
        <v>5</v>
      </c>
      <c r="M1" t="s">
        <v>6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E1" t="s">
        <v>18</v>
      </c>
      <c r="AG1" t="s">
        <v>16</v>
      </c>
      <c r="AI1" t="s">
        <v>17</v>
      </c>
    </row>
    <row r="2" spans="1:35">
      <c r="A2" t="str">
        <f t="shared" ref="A2:A19" si="0">D2&amp; "/" &amp;B2</f>
        <v>12/2012</v>
      </c>
      <c r="B2">
        <v>2012</v>
      </c>
      <c r="C2">
        <v>3</v>
      </c>
      <c r="D2">
        <v>12</v>
      </c>
      <c r="F2">
        <v>83</v>
      </c>
      <c r="G2">
        <v>132</v>
      </c>
      <c r="H2">
        <v>90</v>
      </c>
    </row>
    <row r="3" spans="1:35">
      <c r="A3" t="str">
        <f t="shared" si="0"/>
        <v>3/2013</v>
      </c>
      <c r="B3">
        <v>2013</v>
      </c>
      <c r="C3">
        <v>4</v>
      </c>
      <c r="D3">
        <v>3</v>
      </c>
      <c r="F3">
        <v>9</v>
      </c>
      <c r="G3">
        <v>19</v>
      </c>
      <c r="H3">
        <v>11</v>
      </c>
    </row>
    <row r="4" spans="1:35">
      <c r="A4" t="str">
        <f>D4&amp; "/" &amp;B4</f>
        <v>6/2013</v>
      </c>
      <c r="B4">
        <v>2013</v>
      </c>
      <c r="C4">
        <v>1</v>
      </c>
      <c r="D4">
        <v>6</v>
      </c>
      <c r="F4">
        <v>9</v>
      </c>
      <c r="G4">
        <v>6</v>
      </c>
      <c r="H4">
        <v>1</v>
      </c>
    </row>
    <row r="5" spans="1:35">
      <c r="A5" t="str">
        <f t="shared" si="0"/>
        <v>9/2013</v>
      </c>
      <c r="B5">
        <v>2013</v>
      </c>
      <c r="C5">
        <v>2</v>
      </c>
      <c r="D5">
        <v>9</v>
      </c>
      <c r="F5">
        <v>14</v>
      </c>
      <c r="G5">
        <v>17</v>
      </c>
      <c r="H5">
        <v>0</v>
      </c>
    </row>
    <row r="6" spans="1:35">
      <c r="A6" t="str">
        <f t="shared" si="0"/>
        <v>12/2013</v>
      </c>
      <c r="B6">
        <v>2013</v>
      </c>
      <c r="C6">
        <v>3</v>
      </c>
      <c r="D6">
        <v>12</v>
      </c>
      <c r="F6">
        <v>60</v>
      </c>
      <c r="G6">
        <v>97</v>
      </c>
      <c r="H6">
        <v>47</v>
      </c>
    </row>
    <row r="7" spans="1:35">
      <c r="A7" t="str">
        <f t="shared" si="0"/>
        <v>3/2014</v>
      </c>
      <c r="B7">
        <v>2014</v>
      </c>
      <c r="C7">
        <v>4</v>
      </c>
      <c r="D7">
        <v>3</v>
      </c>
      <c r="F7">
        <v>6</v>
      </c>
      <c r="G7">
        <v>9</v>
      </c>
      <c r="H7">
        <v>7</v>
      </c>
    </row>
    <row r="8" spans="1:35">
      <c r="A8" t="str">
        <f t="shared" si="0"/>
        <v>6/2014</v>
      </c>
      <c r="B8">
        <v>2014</v>
      </c>
      <c r="C8">
        <v>1</v>
      </c>
      <c r="D8">
        <v>6</v>
      </c>
      <c r="F8">
        <v>6</v>
      </c>
      <c r="G8">
        <v>28</v>
      </c>
      <c r="H8">
        <v>17</v>
      </c>
    </row>
    <row r="9" spans="1:35">
      <c r="A9" t="str">
        <f t="shared" si="0"/>
        <v>9/2014</v>
      </c>
      <c r="B9">
        <v>2014</v>
      </c>
      <c r="C9">
        <v>2</v>
      </c>
      <c r="D9">
        <v>9</v>
      </c>
      <c r="F9">
        <v>11</v>
      </c>
      <c r="G9">
        <v>35</v>
      </c>
      <c r="H9">
        <v>15</v>
      </c>
    </row>
    <row r="10" spans="1:35">
      <c r="A10" t="str">
        <f t="shared" si="0"/>
        <v>12/2014</v>
      </c>
      <c r="B10">
        <v>2014</v>
      </c>
      <c r="C10">
        <v>3</v>
      </c>
      <c r="D10">
        <v>12</v>
      </c>
      <c r="F10">
        <v>32</v>
      </c>
      <c r="G10">
        <v>101</v>
      </c>
      <c r="H10">
        <v>58</v>
      </c>
    </row>
    <row r="11" spans="1:35">
      <c r="A11" t="str">
        <f t="shared" si="0"/>
        <v>3/2015</v>
      </c>
      <c r="B11">
        <v>2015</v>
      </c>
      <c r="C11">
        <v>4</v>
      </c>
      <c r="D11">
        <v>3</v>
      </c>
      <c r="F11">
        <v>4</v>
      </c>
      <c r="G11">
        <v>21</v>
      </c>
      <c r="H11">
        <v>10</v>
      </c>
    </row>
    <row r="12" spans="1:35">
      <c r="A12" t="str">
        <f t="shared" si="0"/>
        <v>6/2015</v>
      </c>
      <c r="B12">
        <v>2015</v>
      </c>
      <c r="C12">
        <v>1</v>
      </c>
      <c r="D12">
        <v>6</v>
      </c>
      <c r="F12">
        <v>15</v>
      </c>
      <c r="G12">
        <v>19</v>
      </c>
      <c r="H12">
        <v>13</v>
      </c>
    </row>
    <row r="13" spans="1:35">
      <c r="A13" t="str">
        <f t="shared" si="0"/>
        <v>9/2015</v>
      </c>
      <c r="B13">
        <v>2015</v>
      </c>
      <c r="C13">
        <v>2</v>
      </c>
      <c r="D13">
        <v>9</v>
      </c>
      <c r="F13">
        <v>7</v>
      </c>
      <c r="G13">
        <v>36</v>
      </c>
      <c r="H13">
        <v>18</v>
      </c>
    </row>
    <row r="14" spans="1:35">
      <c r="A14" t="str">
        <f t="shared" si="0"/>
        <v>12/2015</v>
      </c>
      <c r="B14">
        <v>2015</v>
      </c>
      <c r="C14">
        <v>3</v>
      </c>
      <c r="D14">
        <v>12</v>
      </c>
      <c r="F14">
        <v>53</v>
      </c>
      <c r="G14">
        <v>90</v>
      </c>
      <c r="H14">
        <v>56</v>
      </c>
    </row>
    <row r="15" spans="1:35">
      <c r="A15" t="str">
        <f t="shared" si="0"/>
        <v>3/2016</v>
      </c>
      <c r="B15">
        <v>2016</v>
      </c>
      <c r="C15">
        <v>4</v>
      </c>
      <c r="D15">
        <v>3</v>
      </c>
      <c r="F15">
        <v>5</v>
      </c>
      <c r="G15">
        <v>9</v>
      </c>
      <c r="H15">
        <v>4</v>
      </c>
    </row>
    <row r="16" spans="1:35">
      <c r="A16" t="str">
        <f t="shared" si="0"/>
        <v>6/2016</v>
      </c>
      <c r="B16">
        <v>2016</v>
      </c>
      <c r="C16">
        <v>1</v>
      </c>
      <c r="D16">
        <v>6</v>
      </c>
      <c r="F16">
        <v>7</v>
      </c>
      <c r="G16">
        <v>9</v>
      </c>
      <c r="H16">
        <v>5</v>
      </c>
    </row>
    <row r="17" spans="1:8">
      <c r="A17" t="str">
        <f t="shared" si="0"/>
        <v>9/2016</v>
      </c>
      <c r="B17">
        <v>2016</v>
      </c>
      <c r="C17">
        <v>2</v>
      </c>
      <c r="D17">
        <v>9</v>
      </c>
      <c r="F17">
        <v>9</v>
      </c>
      <c r="G17">
        <v>13</v>
      </c>
      <c r="H17">
        <v>13</v>
      </c>
    </row>
    <row r="18" spans="1:8">
      <c r="A18" t="str">
        <f t="shared" si="0"/>
        <v>12/2016</v>
      </c>
      <c r="B18">
        <v>2016</v>
      </c>
      <c r="C18">
        <v>3</v>
      </c>
      <c r="D18">
        <v>12</v>
      </c>
      <c r="F18">
        <v>4</v>
      </c>
      <c r="G18">
        <v>7</v>
      </c>
      <c r="H18">
        <v>8</v>
      </c>
    </row>
    <row r="19" spans="1:8">
      <c r="A19" t="str">
        <f t="shared" si="0"/>
        <v>3/2017</v>
      </c>
      <c r="B19">
        <v>2017</v>
      </c>
      <c r="C19">
        <v>4</v>
      </c>
      <c r="D19">
        <v>3</v>
      </c>
      <c r="F19">
        <v>0</v>
      </c>
      <c r="G19">
        <v>0</v>
      </c>
      <c r="H19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4054-5D20-1E4C-9B4D-D41BF48CA37E}">
  <dimension ref="A1:P35"/>
  <sheetViews>
    <sheetView workbookViewId="0">
      <selection activeCell="C13" sqref="C13"/>
    </sheetView>
  </sheetViews>
  <sheetFormatPr baseColWidth="10" defaultRowHeight="20"/>
  <sheetData>
    <row r="1" spans="1:16">
      <c r="A1" t="s">
        <v>36</v>
      </c>
      <c r="B1" t="s">
        <v>0</v>
      </c>
      <c r="C1" t="s">
        <v>10</v>
      </c>
      <c r="D1" t="s">
        <v>37</v>
      </c>
      <c r="E1" t="s">
        <v>2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</row>
    <row r="2" spans="1:16">
      <c r="A2" t="str">
        <f>D2&amp; "/" &amp;B2</f>
        <v>3/2017</v>
      </c>
      <c r="B2">
        <v>2017</v>
      </c>
      <c r="C2">
        <v>4</v>
      </c>
      <c r="D2">
        <v>3</v>
      </c>
      <c r="E2">
        <v>1</v>
      </c>
      <c r="F2">
        <v>60</v>
      </c>
      <c r="G2">
        <v>120</v>
      </c>
      <c r="H2">
        <v>0</v>
      </c>
      <c r="I2">
        <v>94</v>
      </c>
      <c r="J2">
        <f>SUM(F2:I2)</f>
        <v>274</v>
      </c>
    </row>
    <row r="3" spans="1:16">
      <c r="A3" t="str">
        <f>D3&amp; "/" &amp;B3</f>
        <v>6/2017</v>
      </c>
      <c r="B3">
        <v>2017</v>
      </c>
      <c r="C3">
        <v>1</v>
      </c>
      <c r="D3">
        <v>6</v>
      </c>
      <c r="E3">
        <v>2</v>
      </c>
      <c r="F3">
        <v>52</v>
      </c>
      <c r="G3">
        <v>75</v>
      </c>
      <c r="H3">
        <v>0</v>
      </c>
      <c r="I3">
        <v>69</v>
      </c>
      <c r="J3">
        <f t="shared" ref="J3:J35" si="0">SUM(F3:I3)</f>
        <v>196</v>
      </c>
    </row>
    <row r="4" spans="1:16">
      <c r="A4" t="str">
        <f>D4&amp; "/" &amp;B4</f>
        <v>9/2017</v>
      </c>
      <c r="B4">
        <v>2017</v>
      </c>
      <c r="C4">
        <v>2</v>
      </c>
      <c r="D4">
        <v>9</v>
      </c>
      <c r="E4">
        <v>3</v>
      </c>
      <c r="F4">
        <v>83</v>
      </c>
      <c r="G4">
        <v>117</v>
      </c>
      <c r="H4">
        <v>0</v>
      </c>
      <c r="I4">
        <v>93</v>
      </c>
      <c r="J4">
        <f t="shared" si="0"/>
        <v>293</v>
      </c>
    </row>
    <row r="5" spans="1:16">
      <c r="A5" t="str">
        <f t="shared" ref="A5:A35" si="1">D5&amp; "/" &amp;B5</f>
        <v>12/2017</v>
      </c>
      <c r="B5">
        <v>2017</v>
      </c>
      <c r="C5">
        <v>3</v>
      </c>
      <c r="D5">
        <v>12</v>
      </c>
      <c r="E5">
        <v>4</v>
      </c>
      <c r="F5">
        <v>177</v>
      </c>
      <c r="G5">
        <v>282</v>
      </c>
      <c r="H5">
        <v>0</v>
      </c>
      <c r="I5">
        <v>264</v>
      </c>
      <c r="J5">
        <f t="shared" si="0"/>
        <v>723</v>
      </c>
    </row>
    <row r="6" spans="1:16">
      <c r="A6" t="str">
        <f t="shared" si="1"/>
        <v>3/2018</v>
      </c>
      <c r="B6">
        <v>2018</v>
      </c>
      <c r="C6">
        <v>4</v>
      </c>
      <c r="D6">
        <v>3</v>
      </c>
      <c r="E6">
        <v>5</v>
      </c>
      <c r="F6">
        <v>66</v>
      </c>
      <c r="G6">
        <v>120</v>
      </c>
      <c r="H6">
        <v>0</v>
      </c>
      <c r="I6">
        <v>107</v>
      </c>
      <c r="J6">
        <f t="shared" si="0"/>
        <v>293</v>
      </c>
    </row>
    <row r="7" spans="1:16">
      <c r="A7" t="str">
        <f t="shared" si="1"/>
        <v>6/2018</v>
      </c>
      <c r="B7">
        <v>2018</v>
      </c>
      <c r="C7">
        <v>1</v>
      </c>
      <c r="D7">
        <v>6</v>
      </c>
      <c r="E7">
        <v>6</v>
      </c>
      <c r="F7">
        <v>50</v>
      </c>
      <c r="G7">
        <v>67</v>
      </c>
      <c r="H7">
        <v>0</v>
      </c>
      <c r="I7">
        <v>70</v>
      </c>
      <c r="J7">
        <f t="shared" si="0"/>
        <v>187</v>
      </c>
    </row>
    <row r="8" spans="1:16">
      <c r="A8" t="str">
        <f t="shared" si="1"/>
        <v>9/2018</v>
      </c>
      <c r="B8">
        <v>2018</v>
      </c>
      <c r="C8">
        <v>2</v>
      </c>
      <c r="D8">
        <v>9</v>
      </c>
      <c r="E8">
        <v>7</v>
      </c>
      <c r="F8">
        <v>64</v>
      </c>
      <c r="G8">
        <v>133</v>
      </c>
      <c r="H8">
        <v>0</v>
      </c>
      <c r="I8">
        <v>123</v>
      </c>
      <c r="J8">
        <f t="shared" si="0"/>
        <v>320</v>
      </c>
    </row>
    <row r="9" spans="1:16">
      <c r="A9" t="str">
        <f t="shared" si="1"/>
        <v>12/2018</v>
      </c>
      <c r="B9">
        <v>2018</v>
      </c>
      <c r="C9">
        <v>3</v>
      </c>
      <c r="D9">
        <v>12</v>
      </c>
      <c r="E9">
        <v>8</v>
      </c>
      <c r="F9">
        <v>222</v>
      </c>
      <c r="G9">
        <v>380</v>
      </c>
      <c r="H9">
        <v>0</v>
      </c>
      <c r="I9">
        <v>340</v>
      </c>
      <c r="J9">
        <f t="shared" si="0"/>
        <v>942</v>
      </c>
    </row>
    <row r="10" spans="1:16">
      <c r="A10" t="str">
        <f t="shared" si="1"/>
        <v>3/2019</v>
      </c>
      <c r="B10">
        <v>2019</v>
      </c>
      <c r="C10">
        <v>4</v>
      </c>
      <c r="D10">
        <v>3</v>
      </c>
      <c r="E10">
        <v>9</v>
      </c>
      <c r="F10">
        <v>49</v>
      </c>
      <c r="G10">
        <v>108</v>
      </c>
      <c r="H10">
        <v>0</v>
      </c>
      <c r="I10">
        <v>90</v>
      </c>
      <c r="J10">
        <f t="shared" si="0"/>
        <v>247</v>
      </c>
    </row>
    <row r="11" spans="1:16">
      <c r="A11" t="str">
        <f t="shared" si="1"/>
        <v>6/2019</v>
      </c>
      <c r="B11">
        <v>2019</v>
      </c>
      <c r="C11">
        <v>1</v>
      </c>
      <c r="D11">
        <v>6</v>
      </c>
      <c r="E11">
        <v>10</v>
      </c>
      <c r="F11">
        <v>53</v>
      </c>
      <c r="G11">
        <v>82</v>
      </c>
      <c r="H11">
        <v>0</v>
      </c>
      <c r="I11">
        <v>50</v>
      </c>
      <c r="J11">
        <f t="shared" si="0"/>
        <v>185</v>
      </c>
    </row>
    <row r="12" spans="1:16">
      <c r="A12" t="str">
        <f t="shared" si="1"/>
        <v>9/2019</v>
      </c>
      <c r="B12">
        <v>2019</v>
      </c>
      <c r="C12">
        <v>2</v>
      </c>
      <c r="D12">
        <v>9</v>
      </c>
      <c r="E12">
        <v>11</v>
      </c>
      <c r="F12">
        <v>124</v>
      </c>
      <c r="G12">
        <v>181</v>
      </c>
      <c r="H12">
        <v>0</v>
      </c>
      <c r="I12">
        <v>127</v>
      </c>
      <c r="J12">
        <f t="shared" si="0"/>
        <v>432</v>
      </c>
    </row>
    <row r="13" spans="1:16">
      <c r="A13" t="str">
        <f t="shared" si="1"/>
        <v>12/2019</v>
      </c>
      <c r="B13">
        <v>2019</v>
      </c>
      <c r="C13">
        <v>3</v>
      </c>
      <c r="D13">
        <v>12</v>
      </c>
      <c r="E13">
        <v>12</v>
      </c>
      <c r="F13">
        <v>242</v>
      </c>
      <c r="G13">
        <v>395</v>
      </c>
      <c r="H13">
        <v>0</v>
      </c>
      <c r="I13">
        <v>302</v>
      </c>
      <c r="J13">
        <f t="shared" si="0"/>
        <v>939</v>
      </c>
    </row>
    <row r="14" spans="1:16">
      <c r="A14" t="str">
        <f t="shared" si="1"/>
        <v>3/2020</v>
      </c>
      <c r="B14">
        <v>2020</v>
      </c>
      <c r="C14">
        <v>4</v>
      </c>
      <c r="D14">
        <v>3</v>
      </c>
      <c r="E14">
        <v>13</v>
      </c>
      <c r="F14">
        <v>102</v>
      </c>
      <c r="G14">
        <v>153</v>
      </c>
      <c r="H14">
        <v>0</v>
      </c>
      <c r="I14">
        <v>55</v>
      </c>
      <c r="J14">
        <f t="shared" si="0"/>
        <v>310</v>
      </c>
    </row>
    <row r="15" spans="1:16">
      <c r="A15" t="str">
        <f t="shared" si="1"/>
        <v>6/2020</v>
      </c>
      <c r="B15">
        <v>2020</v>
      </c>
      <c r="C15">
        <v>1</v>
      </c>
      <c r="D15">
        <v>6</v>
      </c>
      <c r="E15">
        <v>14</v>
      </c>
      <c r="F15">
        <v>115</v>
      </c>
      <c r="G15">
        <v>199</v>
      </c>
      <c r="H15">
        <v>161</v>
      </c>
      <c r="I15">
        <v>92</v>
      </c>
      <c r="J15">
        <f t="shared" si="0"/>
        <v>567</v>
      </c>
    </row>
    <row r="16" spans="1:16">
      <c r="A16" t="str">
        <f t="shared" si="1"/>
        <v>9/2020</v>
      </c>
      <c r="B16">
        <v>2020</v>
      </c>
      <c r="C16">
        <v>2</v>
      </c>
      <c r="D16">
        <v>9</v>
      </c>
      <c r="E16">
        <v>15</v>
      </c>
      <c r="F16">
        <v>158</v>
      </c>
      <c r="G16">
        <v>247</v>
      </c>
      <c r="H16">
        <v>170</v>
      </c>
      <c r="I16">
        <v>112</v>
      </c>
      <c r="J16">
        <f t="shared" si="0"/>
        <v>687</v>
      </c>
    </row>
    <row r="17" spans="1:10">
      <c r="A17" t="str">
        <f t="shared" si="1"/>
        <v>12/2020</v>
      </c>
      <c r="B17">
        <v>2020</v>
      </c>
      <c r="C17">
        <v>3</v>
      </c>
      <c r="D17">
        <v>12</v>
      </c>
      <c r="E17">
        <v>16</v>
      </c>
      <c r="F17">
        <v>271</v>
      </c>
      <c r="G17">
        <v>459</v>
      </c>
      <c r="H17">
        <v>297</v>
      </c>
      <c r="I17">
        <v>129</v>
      </c>
      <c r="J17">
        <f t="shared" si="0"/>
        <v>1156</v>
      </c>
    </row>
    <row r="18" spans="1:10">
      <c r="A18" t="str">
        <f t="shared" si="1"/>
        <v>3/2021</v>
      </c>
      <c r="B18">
        <v>2021</v>
      </c>
      <c r="C18">
        <v>4</v>
      </c>
      <c r="D18">
        <v>3</v>
      </c>
      <c r="E18">
        <v>17</v>
      </c>
      <c r="F18">
        <v>116</v>
      </c>
      <c r="G18">
        <v>210</v>
      </c>
      <c r="H18">
        <v>87</v>
      </c>
      <c r="I18">
        <v>60</v>
      </c>
      <c r="J18">
        <f t="shared" si="0"/>
        <v>473</v>
      </c>
    </row>
    <row r="19" spans="1:10">
      <c r="A19" t="str">
        <f t="shared" si="1"/>
        <v>6/2021</v>
      </c>
      <c r="B19">
        <v>2021</v>
      </c>
      <c r="C19">
        <v>1</v>
      </c>
      <c r="D19">
        <v>6</v>
      </c>
      <c r="E19">
        <v>18</v>
      </c>
      <c r="F19">
        <v>116</v>
      </c>
      <c r="G19">
        <v>159</v>
      </c>
      <c r="H19">
        <v>108</v>
      </c>
      <c r="I19">
        <v>62</v>
      </c>
      <c r="J19">
        <f t="shared" si="0"/>
        <v>445</v>
      </c>
    </row>
    <row r="20" spans="1:10">
      <c r="A20" t="str">
        <f t="shared" si="1"/>
        <v>9/2021</v>
      </c>
      <c r="B20">
        <v>2021</v>
      </c>
      <c r="C20">
        <v>2</v>
      </c>
      <c r="D20">
        <v>9</v>
      </c>
      <c r="E20">
        <v>19</v>
      </c>
      <c r="F20">
        <v>87</v>
      </c>
      <c r="G20">
        <v>145</v>
      </c>
      <c r="H20">
        <v>94</v>
      </c>
      <c r="I20">
        <v>57</v>
      </c>
      <c r="J20">
        <f t="shared" si="0"/>
        <v>383</v>
      </c>
    </row>
    <row r="21" spans="1:10">
      <c r="A21" t="str">
        <f t="shared" si="1"/>
        <v>12/2021</v>
      </c>
      <c r="B21">
        <v>2021</v>
      </c>
      <c r="C21">
        <v>3</v>
      </c>
      <c r="D21">
        <v>12</v>
      </c>
      <c r="E21">
        <v>20</v>
      </c>
      <c r="F21">
        <v>229</v>
      </c>
      <c r="G21">
        <v>380</v>
      </c>
      <c r="H21">
        <v>338</v>
      </c>
      <c r="I21">
        <v>119</v>
      </c>
      <c r="J21">
        <f t="shared" si="0"/>
        <v>1066</v>
      </c>
    </row>
    <row r="22" spans="1:10">
      <c r="A22" t="str">
        <f t="shared" si="1"/>
        <v>3/2022</v>
      </c>
      <c r="B22">
        <v>2022</v>
      </c>
      <c r="C22">
        <v>4</v>
      </c>
      <c r="D22">
        <v>3</v>
      </c>
      <c r="E22">
        <v>21</v>
      </c>
      <c r="F22">
        <v>87</v>
      </c>
      <c r="G22">
        <v>192</v>
      </c>
      <c r="H22">
        <v>62</v>
      </c>
      <c r="I22">
        <v>71</v>
      </c>
      <c r="J22">
        <f t="shared" si="0"/>
        <v>412</v>
      </c>
    </row>
    <row r="23" spans="1:10">
      <c r="A23" t="str">
        <f t="shared" si="1"/>
        <v>6/2022</v>
      </c>
      <c r="B23">
        <v>2022</v>
      </c>
      <c r="C23">
        <v>1</v>
      </c>
      <c r="D23">
        <v>6</v>
      </c>
      <c r="E23">
        <v>22</v>
      </c>
      <c r="F23">
        <v>72</v>
      </c>
      <c r="G23">
        <v>127</v>
      </c>
      <c r="H23">
        <v>111</v>
      </c>
      <c r="I23">
        <v>33</v>
      </c>
      <c r="J23">
        <f t="shared" si="0"/>
        <v>343</v>
      </c>
    </row>
    <row r="24" spans="1:10">
      <c r="A24" t="str">
        <f t="shared" si="1"/>
        <v>9/2022</v>
      </c>
      <c r="B24">
        <v>2022</v>
      </c>
      <c r="C24">
        <v>2</v>
      </c>
      <c r="D24">
        <v>9</v>
      </c>
      <c r="E24">
        <v>23</v>
      </c>
      <c r="F24">
        <v>101</v>
      </c>
      <c r="G24">
        <v>129</v>
      </c>
      <c r="H24">
        <v>58</v>
      </c>
      <c r="I24">
        <v>37</v>
      </c>
      <c r="J24">
        <f t="shared" si="0"/>
        <v>325</v>
      </c>
    </row>
    <row r="25" spans="1:10">
      <c r="A25" t="str">
        <f t="shared" si="1"/>
        <v>12/2022</v>
      </c>
      <c r="B25">
        <v>2022</v>
      </c>
      <c r="C25">
        <v>3</v>
      </c>
      <c r="D25">
        <v>12</v>
      </c>
      <c r="E25">
        <v>24</v>
      </c>
      <c r="F25">
        <v>209</v>
      </c>
      <c r="G25">
        <v>307</v>
      </c>
      <c r="H25">
        <v>242</v>
      </c>
      <c r="I25">
        <v>65</v>
      </c>
      <c r="J25">
        <f t="shared" si="0"/>
        <v>823</v>
      </c>
    </row>
    <row r="26" spans="1:10">
      <c r="A26" t="str">
        <f t="shared" si="1"/>
        <v>3/2023</v>
      </c>
      <c r="B26">
        <v>2023</v>
      </c>
      <c r="C26">
        <v>4</v>
      </c>
      <c r="D26">
        <v>3</v>
      </c>
      <c r="E26">
        <v>25</v>
      </c>
      <c r="F26">
        <v>55</v>
      </c>
      <c r="G26">
        <v>134</v>
      </c>
      <c r="H26">
        <v>87</v>
      </c>
      <c r="I26">
        <v>30</v>
      </c>
      <c r="J26">
        <f t="shared" si="0"/>
        <v>306</v>
      </c>
    </row>
    <row r="27" spans="1:10">
      <c r="A27" t="str">
        <f t="shared" si="1"/>
        <v>6/2023</v>
      </c>
      <c r="B27">
        <v>2023</v>
      </c>
      <c r="C27">
        <v>1</v>
      </c>
      <c r="D27">
        <v>6</v>
      </c>
      <c r="E27">
        <v>26</v>
      </c>
      <c r="F27">
        <v>120</v>
      </c>
      <c r="G27">
        <v>118</v>
      </c>
      <c r="H27">
        <v>94</v>
      </c>
      <c r="I27">
        <v>58</v>
      </c>
      <c r="J27">
        <f t="shared" si="0"/>
        <v>390</v>
      </c>
    </row>
    <row r="28" spans="1:10">
      <c r="A28" t="str">
        <f t="shared" si="1"/>
        <v>9/2023</v>
      </c>
      <c r="B28">
        <v>2023</v>
      </c>
      <c r="C28">
        <v>2</v>
      </c>
      <c r="D28">
        <v>9</v>
      </c>
      <c r="E28">
        <v>27</v>
      </c>
      <c r="F28">
        <v>98</v>
      </c>
      <c r="G28">
        <v>85</v>
      </c>
      <c r="H28">
        <v>63</v>
      </c>
      <c r="I28">
        <v>48</v>
      </c>
      <c r="J28">
        <f t="shared" si="0"/>
        <v>294</v>
      </c>
    </row>
    <row r="29" spans="1:10">
      <c r="A29" t="str">
        <f t="shared" si="1"/>
        <v>12/2023</v>
      </c>
      <c r="B29">
        <v>2023</v>
      </c>
      <c r="C29">
        <v>3</v>
      </c>
      <c r="D29">
        <v>12</v>
      </c>
      <c r="E29">
        <v>28</v>
      </c>
      <c r="F29">
        <v>156</v>
      </c>
      <c r="G29">
        <v>282</v>
      </c>
      <c r="H29">
        <v>199</v>
      </c>
      <c r="I29">
        <v>53</v>
      </c>
      <c r="J29">
        <f t="shared" si="0"/>
        <v>690</v>
      </c>
    </row>
    <row r="30" spans="1:10">
      <c r="A30" t="str">
        <f t="shared" si="1"/>
        <v>3/2024</v>
      </c>
      <c r="B30">
        <v>2024</v>
      </c>
      <c r="C30">
        <v>4</v>
      </c>
      <c r="D30">
        <v>3</v>
      </c>
      <c r="E30">
        <v>29</v>
      </c>
      <c r="F30" s="1">
        <v>67</v>
      </c>
      <c r="G30" s="1">
        <v>67</v>
      </c>
      <c r="H30" s="1">
        <v>34</v>
      </c>
      <c r="I30" s="1">
        <v>27</v>
      </c>
      <c r="J30">
        <f t="shared" si="0"/>
        <v>195</v>
      </c>
    </row>
    <row r="31" spans="1:10">
      <c r="A31" t="str">
        <f t="shared" si="1"/>
        <v>6/2024</v>
      </c>
      <c r="B31">
        <v>2024</v>
      </c>
      <c r="C31">
        <v>1</v>
      </c>
      <c r="D31">
        <v>6</v>
      </c>
      <c r="E31">
        <v>30</v>
      </c>
      <c r="F31" s="1">
        <v>79</v>
      </c>
      <c r="G31" s="1">
        <v>65</v>
      </c>
      <c r="H31" s="1">
        <v>41</v>
      </c>
      <c r="I31" s="1">
        <v>25</v>
      </c>
      <c r="J31">
        <f t="shared" si="0"/>
        <v>210</v>
      </c>
    </row>
    <row r="32" spans="1:10">
      <c r="A32" t="str">
        <f t="shared" si="1"/>
        <v>9/2024</v>
      </c>
      <c r="B32">
        <v>2024</v>
      </c>
      <c r="C32">
        <v>2</v>
      </c>
      <c r="D32">
        <v>9</v>
      </c>
      <c r="E32">
        <v>31</v>
      </c>
      <c r="F32" s="1">
        <v>83</v>
      </c>
      <c r="G32" s="1">
        <v>94</v>
      </c>
      <c r="H32" s="1">
        <v>62</v>
      </c>
      <c r="I32" s="1">
        <v>23</v>
      </c>
      <c r="J32">
        <f t="shared" si="0"/>
        <v>262</v>
      </c>
    </row>
    <row r="33" spans="1:10">
      <c r="A33" t="str">
        <f t="shared" si="1"/>
        <v>12/2024</v>
      </c>
      <c r="B33">
        <v>2024</v>
      </c>
      <c r="C33">
        <v>3</v>
      </c>
      <c r="D33">
        <v>12</v>
      </c>
      <c r="E33">
        <v>32</v>
      </c>
      <c r="F33" s="1">
        <v>120</v>
      </c>
      <c r="G33" s="1">
        <v>172</v>
      </c>
      <c r="H33" s="1">
        <v>148</v>
      </c>
      <c r="I33" s="1">
        <v>43</v>
      </c>
      <c r="J33">
        <f t="shared" si="0"/>
        <v>483</v>
      </c>
    </row>
    <row r="34" spans="1:10">
      <c r="A34" t="str">
        <f t="shared" si="1"/>
        <v>3/2025</v>
      </c>
      <c r="B34">
        <v>2025</v>
      </c>
      <c r="C34">
        <v>4</v>
      </c>
      <c r="D34">
        <v>3</v>
      </c>
      <c r="E34">
        <v>33</v>
      </c>
      <c r="F34" s="1">
        <v>38</v>
      </c>
      <c r="G34" s="1">
        <v>48</v>
      </c>
      <c r="H34" s="1">
        <v>20</v>
      </c>
      <c r="I34" s="1">
        <v>19</v>
      </c>
      <c r="J34">
        <f t="shared" si="0"/>
        <v>125</v>
      </c>
    </row>
    <row r="35" spans="1:10">
      <c r="A35" t="str">
        <f t="shared" si="1"/>
        <v>6/2025</v>
      </c>
      <c r="B35">
        <v>2025</v>
      </c>
      <c r="C35">
        <v>1</v>
      </c>
      <c r="D35">
        <v>6</v>
      </c>
      <c r="E35">
        <v>34</v>
      </c>
      <c r="F35" s="1">
        <v>29</v>
      </c>
      <c r="G35" s="1">
        <v>36</v>
      </c>
      <c r="H35" s="1">
        <v>24</v>
      </c>
      <c r="I35" s="1">
        <v>11</v>
      </c>
      <c r="J35">
        <f t="shared" si="0"/>
        <v>100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Wii</vt:lpstr>
      <vt:lpstr>WiiU</vt:lpstr>
      <vt:lpstr>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 M</dc:creator>
  <cp:lastModifiedBy>Fumi M</cp:lastModifiedBy>
  <dcterms:created xsi:type="dcterms:W3CDTF">2025-07-15T05:22:04Z</dcterms:created>
  <dcterms:modified xsi:type="dcterms:W3CDTF">2025-07-21T10:54:57Z</dcterms:modified>
</cp:coreProperties>
</file>